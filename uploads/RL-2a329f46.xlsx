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fig" sheetId="1" r:id="rId5"/>
    <sheet state="visible" name="PrimaryStat" sheetId="2" r:id="rId6"/>
    <sheet state="visible" name="SecondaryStat" sheetId="3" r:id="rId7"/>
    <sheet state="visible" name="WeaponAttribute" sheetId="4" r:id="rId8"/>
    <sheet state="visible" name="StatusEffect" sheetId="5" r:id="rId9"/>
    <sheet state="visible" name="Affix" sheetId="6" r:id="rId10"/>
    <sheet state="visible" name="Artifact" sheetId="7" r:id="rId11"/>
    <sheet state="visible" name="Shop" sheetId="8" r:id="rId12"/>
    <sheet state="visible" name="Item" sheetId="9" r:id="rId13"/>
    <sheet state="visible" name="City" sheetId="10" r:id="rId14"/>
    <sheet state="visible" name="Zone" sheetId="11" r:id="rId15"/>
    <sheet state="visible" name="Vendor" sheetId="12" r:id="rId16"/>
    <sheet state="visible" name="Monster" sheetId="13" r:id="rId17"/>
    <sheet state="visible" name="Weapon" sheetId="14" r:id="rId18"/>
    <sheet state="visible" name="Armor" sheetId="15" r:id="rId19"/>
    <sheet state="visible" name="All_IDs" sheetId="16" r:id="rId20"/>
    <sheet state="visible" name="LootTable" sheetId="17" r:id="rId21"/>
  </sheets>
  <definedNames/>
  <calcPr/>
</workbook>
</file>

<file path=xl/sharedStrings.xml><?xml version="1.0" encoding="utf-8"?>
<sst xmlns="http://schemas.openxmlformats.org/spreadsheetml/2006/main" count="1446" uniqueCount="713">
  <si>
    <t>Key</t>
  </si>
  <si>
    <t>Value</t>
  </si>
  <si>
    <t>Description</t>
  </si>
  <si>
    <t>Status</t>
  </si>
  <si>
    <t>LastUpdated</t>
  </si>
  <si>
    <t>growth_A</t>
  </si>
  <si>
    <t>성장 공식 1회차 기준값 (필요_성장포인트 = A × r^(n-1))</t>
  </si>
  <si>
    <t>Planning</t>
  </si>
  <si>
    <t>growth_r</t>
  </si>
  <si>
    <t>성장률 (1보다 큼, 클수록 후반 성장이 급격히 둔화)</t>
  </si>
  <si>
    <t>growth_tag_mult_base</t>
  </si>
  <si>
    <t>성장 태그 배율 기본값 (태그 0개일 때)</t>
  </si>
  <si>
    <t>growth_tag_mult_step</t>
  </si>
  <si>
    <t>성장 태그 1개당 배율 증가폭 (배율 = base + step × 태그수)</t>
  </si>
  <si>
    <t>stamina_penalty_rate</t>
  </si>
  <si>
    <t>스태미너 0일 때 1차 스탯 실효치 감소율 (0.5 = 50% 감소)</t>
  </si>
  <si>
    <t>flee_chance_base</t>
  </si>
  <si>
    <t>기본 도망(귀환) 성공 확률 (0.9 = 90%, 아이템 옵션으로 변동 가능)</t>
  </si>
  <si>
    <t>medicine_slot_default</t>
  </si>
  <si>
    <t>약품 기본 소지 가능 개수</t>
  </si>
  <si>
    <t>status_proc_min</t>
  </si>
  <si>
    <t>상태이상 발생 확률 하한 (5%)</t>
  </si>
  <si>
    <t>status_proc_max</t>
  </si>
  <si>
    <t>상태이상 발생 확률 상한 (25%)</t>
  </si>
  <si>
    <t>shop_stock_reset_interval</t>
  </si>
  <si>
    <t>상점 재고 리셋 주기 (출정 N회마다 재고 복구, 3 = 3회 출정마다)</t>
  </si>
  <si>
    <t>defense_constant</t>
  </si>
  <si>
    <t>방어력 공식 상수 K (최종뎀 = 데미지 × K/(K+방어력), 작을수록 방어력 영향 큼)</t>
  </si>
  <si>
    <t>crit_proc_min</t>
  </si>
  <si>
    <t>크리티컬 발생 확률 하한 (5%)</t>
  </si>
  <si>
    <t>crit_proc_max</t>
  </si>
  <si>
    <t>크리티컬 발생 확률 상한 (50%)</t>
  </si>
  <si>
    <t>crit_damage_mult</t>
  </si>
  <si>
    <t>크리티컬 데미지 배수 (방어 적용 전 데미지에 곱함)</t>
  </si>
  <si>
    <t>start_vault_items</t>
  </si>
  <si>
    <t>weapon_wooden_sword,armor_cloth_hood</t>
  </si>
  <si>
    <t>시작시 금고에 지금되는 아이템 ID 목록(쉼표 구분)</t>
  </si>
  <si>
    <t>start_sato</t>
  </si>
  <si>
    <t>시작 사토 잔액</t>
  </si>
  <si>
    <t>start_primary_stats</t>
  </si>
  <si>
    <t>10,10,10,10</t>
  </si>
  <si>
    <t>1차 스탯 초기치(힘,민첩,체력,의지)</t>
  </si>
  <si>
    <t>PrimaryStatID</t>
  </si>
  <si>
    <t>StatName_KR</t>
  </si>
  <si>
    <t>StatName_EN</t>
  </si>
  <si>
    <t>Role_KR</t>
  </si>
  <si>
    <t>GrowthCondition</t>
  </si>
  <si>
    <t>GrowthPointPerTrigger</t>
  </si>
  <si>
    <t>Notes</t>
  </si>
  <si>
    <t>stat_str</t>
  </si>
  <si>
    <t>힘</t>
  </si>
  <si>
    <t>Strength</t>
  </si>
  <si>
    <t>물리적 힘과 공격력 중심</t>
  </si>
  <si>
    <t>공격이 적에게 명중(적중)한 횟수</t>
  </si>
  <si>
    <t>1차 스탯</t>
  </si>
  <si>
    <t>stat_dex</t>
  </si>
  <si>
    <t>민첩</t>
  </si>
  <si>
    <t>Dexterity</t>
  </si>
  <si>
    <t>속도·정확도·회피 중심</t>
  </si>
  <si>
    <t>회피에 성공한 횟수</t>
  </si>
  <si>
    <t>stat_vit</t>
  </si>
  <si>
    <t>체력</t>
  </si>
  <si>
    <t>Vitality</t>
  </si>
  <si>
    <t>생존과 내구력 중심</t>
  </si>
  <si>
    <t>피격당한 횟수(피해량과 무관)</t>
  </si>
  <si>
    <t>stat_will</t>
  </si>
  <si>
    <t>의지</t>
  </si>
  <si>
    <t>Will</t>
  </si>
  <si>
    <t>정신력·저항·변수 중심</t>
  </si>
  <si>
    <t>크리티컬 공격에 성공한 횟수</t>
  </si>
  <si>
    <t>SecondaryStatID</t>
  </si>
  <si>
    <t>SecondaryStat_KR</t>
  </si>
  <si>
    <t>SecondaryStat_EN</t>
  </si>
  <si>
    <t>SourcePrimary</t>
  </si>
  <si>
    <t>ValuePerPoint</t>
  </si>
  <si>
    <t>BaseValue</t>
  </si>
  <si>
    <t>Cap</t>
  </si>
  <si>
    <t>Unit</t>
  </si>
  <si>
    <t>Influence</t>
  </si>
  <si>
    <t>sec_min_atk</t>
  </si>
  <si>
    <t>최소 공격력</t>
  </si>
  <si>
    <t>Min Attack</t>
  </si>
  <si>
    <t>-</t>
  </si>
  <si>
    <t>고정</t>
  </si>
  <si>
    <t>강함</t>
  </si>
  <si>
    <t>기본 공격력의 하한선</t>
  </si>
  <si>
    <t>sec_max_atk</t>
  </si>
  <si>
    <t>최대 공격력</t>
  </si>
  <si>
    <t>Max Attack</t>
  </si>
  <si>
    <t>기본 공격력의 상한선</t>
  </si>
  <si>
    <t>sec_defense</t>
  </si>
  <si>
    <t>방어력</t>
  </si>
  <si>
    <t>Defense</t>
  </si>
  <si>
    <t>중간</t>
  </si>
  <si>
    <t>물리 피해 감소 (힘 기여분)</t>
  </si>
  <si>
    <t>방어력은 힘+체력 합산</t>
  </si>
  <si>
    <t>sec_atk_speed</t>
  </si>
  <si>
    <t>공격 속도</t>
  </si>
  <si>
    <t>Attack Speed</t>
  </si>
  <si>
    <t>퍼센트</t>
  </si>
  <si>
    <t>초당 공격 횟수 (base=맨손, 무기가 대체)</t>
  </si>
  <si>
    <t>cap=템포 상한</t>
  </si>
  <si>
    <t>sec_evasion</t>
  </si>
  <si>
    <t>회피율</t>
  </si>
  <si>
    <t>Evasion</t>
  </si>
  <si>
    <t>물리 공격 회피 확률 (명중 비율식)</t>
  </si>
  <si>
    <t>sec_accuracy</t>
  </si>
  <si>
    <t>적중률</t>
  </si>
  <si>
    <t>Accuracy</t>
  </si>
  <si>
    <t>공격이 빗나가지 않을 확률 (명중 비율식)</t>
  </si>
  <si>
    <t>sec_max_hp</t>
  </si>
  <si>
    <t>최대 생명력</t>
  </si>
  <si>
    <t>Max HP</t>
  </si>
  <si>
    <t>최대 체력</t>
  </si>
  <si>
    <t>base=기본 생명력</t>
  </si>
  <si>
    <t>물리 피해 감소 (체력 기여분)</t>
  </si>
  <si>
    <t>sec_status_resist</t>
  </si>
  <si>
    <t>상태이상 저항</t>
  </si>
  <si>
    <t>Status Resist</t>
  </si>
  <si>
    <t>기절·출혈·파열 등 저항</t>
  </si>
  <si>
    <t>저항은 체력+의지 합산</t>
  </si>
  <si>
    <t>sec_crit_chance</t>
  </si>
  <si>
    <t>크리티컬 확률</t>
  </si>
  <si>
    <t>Crit Chance</t>
  </si>
  <si>
    <t>치명타 발생 확률 (base=기본 크리확률)</t>
  </si>
  <si>
    <t>밴드 매핑으로 cap 불필요</t>
  </si>
  <si>
    <t>sec_crit_resist</t>
  </si>
  <si>
    <t>크리티컬 저항</t>
  </si>
  <si>
    <t>Crit Resist</t>
  </si>
  <si>
    <t>치명타 발생 저항 (크리확률과 비율식)</t>
  </si>
  <si>
    <t>신설·값 잠정</t>
  </si>
  <si>
    <t>AttributeName_EN</t>
  </si>
  <si>
    <t>StatusEffect_KR</t>
  </si>
  <si>
    <t>EffectSummary</t>
  </si>
  <si>
    <t>Stun</t>
  </si>
  <si>
    <t>기절</t>
  </si>
  <si>
    <t>대상을 일정 시간 행동 불가 상태로 만든다 (제어)</t>
  </si>
  <si>
    <t>Bleed</t>
  </si>
  <si>
    <t>출혈</t>
  </si>
  <si>
    <t>일정 시간 동안 지속 피해를 준다 (도트)</t>
  </si>
  <si>
    <t>Pierce</t>
  </si>
  <si>
    <t>관통</t>
  </si>
  <si>
    <t>이번 타격에 대상 방어력의 일정 %를 무시한다</t>
  </si>
  <si>
    <t>Rupture</t>
  </si>
  <si>
    <t>파열</t>
  </si>
  <si>
    <t>일정 시간 대상의 방어력을 감소시킨다</t>
  </si>
  <si>
    <t>Sever</t>
  </si>
  <si>
    <t>절단</t>
  </si>
  <si>
    <t>일정 시간 대상의 공격력을 감소시킨다</t>
  </si>
  <si>
    <t>StatusID</t>
  </si>
  <si>
    <t>Name_KR</t>
  </si>
  <si>
    <t>Name_EN</t>
  </si>
  <si>
    <t>Attribute</t>
  </si>
  <si>
    <t>EffectType</t>
  </si>
  <si>
    <t>ScaleSource</t>
  </si>
  <si>
    <t>Reapply</t>
  </si>
  <si>
    <t>IgnoreDefense</t>
  </si>
  <si>
    <t>ValueMax</t>
  </si>
  <si>
    <t>PerStack</t>
  </si>
  <si>
    <t>TickInterval</t>
  </si>
  <si>
    <t>Duration</t>
  </si>
  <si>
    <t>MaxStack</t>
  </si>
  <si>
    <t>Formula</t>
  </si>
  <si>
    <t>status_bleed</t>
  </si>
  <si>
    <t>bleed</t>
  </si>
  <si>
    <t>dot_damage</t>
  </si>
  <si>
    <t>weapon_max_dmg</t>
  </si>
  <si>
    <t>time_reset</t>
  </si>
  <si>
    <t>Y</t>
  </si>
  <si>
    <t>스택당 무기 최대데미지×50% 피해, 2초당 1회 발동, 방어무시, 재부여 시 시간리셋+스택유지</t>
  </si>
  <si>
    <t>베기 계열</t>
  </si>
  <si>
    <t>status_stun</t>
  </si>
  <si>
    <t>stun</t>
  </si>
  <si>
    <t>attack_delay</t>
  </si>
  <si>
    <t>weapon_atkspd_inverse</t>
  </si>
  <si>
    <t>N</t>
  </si>
  <si>
    <t>다음 공격 지연 = (1÷무기 공격속도)×50%, 스택 없음(단일)</t>
  </si>
  <si>
    <t>둔기 계열</t>
  </si>
  <si>
    <t>status_pierce</t>
  </si>
  <si>
    <t>pierce</t>
  </si>
  <si>
    <t>defense_ignore</t>
  </si>
  <si>
    <t>target_defense</t>
  </si>
  <si>
    <t>발생 시 상대 방어력의 5~40% 랜덤 무시(해당 일격만), 즉발</t>
  </si>
  <si>
    <t>찌르기 계열</t>
  </si>
  <si>
    <t>status_rupture</t>
  </si>
  <si>
    <t>rupture</t>
  </si>
  <si>
    <t>attack_reduction</t>
  </si>
  <si>
    <t>target_attack</t>
  </si>
  <si>
    <t>상대 공격력 감소(지속 중 상시), 스택당 10/15/20%(기본0.10+스택당0.05), 지속 3초</t>
  </si>
  <si>
    <t>타격 계열</t>
  </si>
  <si>
    <t>■ 참고 (컬럼 값 설명)</t>
  </si>
  <si>
    <t>지속피해</t>
  </si>
  <si>
    <t>공격지연</t>
  </si>
  <si>
    <t>방어무시</t>
  </si>
  <si>
    <t>공격력감소</t>
  </si>
  <si>
    <t>무기 최대뎀에 비례</t>
  </si>
  <si>
    <t>1÷무기 공격속도에 비례</t>
  </si>
  <si>
    <t>상대 방어력에 비례</t>
  </si>
  <si>
    <t>상대 공격력에 비례</t>
  </si>
  <si>
    <t>튜닝 손잡이</t>
  </si>
  <si>
    <t>기본 계수 (예: 출혈 세기 = 0.5)</t>
  </si>
  <si>
    <t>랜덤 상한 (예: 관통 상한 = 0.40)</t>
  </si>
  <si>
    <t>스택당 증가폭 (예: 파열 = 0.05)</t>
  </si>
  <si>
    <t>기호</t>
  </si>
  <si>
    <t>이 효과엔 해당 없음</t>
  </si>
  <si>
    <t>TBD</t>
  </si>
  <si>
    <t>부여력(발생 확률), 저항과 함께 추후 확정</t>
  </si>
  <si>
    <t>AffixID</t>
  </si>
  <si>
    <t>AffixName_KR</t>
  </si>
  <si>
    <t>AffixType</t>
  </si>
  <si>
    <t>Category</t>
  </si>
  <si>
    <t>GroupID</t>
  </si>
  <si>
    <t>TargetStat</t>
  </si>
  <si>
    <t>TargetStat_KR</t>
  </si>
  <si>
    <t>Value_Min</t>
  </si>
  <si>
    <t>Value_Max</t>
  </si>
  <si>
    <t>Weight</t>
  </si>
  <si>
    <t>affix_p01</t>
  </si>
  <si>
    <t>억센</t>
  </si>
  <si>
    <t>prefix</t>
  </si>
  <si>
    <t>weapon</t>
  </si>
  <si>
    <t>wea1</t>
  </si>
  <si>
    <t>1차 증가</t>
  </si>
  <si>
    <t>affix_p02</t>
  </si>
  <si>
    <t>육중한</t>
  </si>
  <si>
    <t>2차 증가</t>
  </si>
  <si>
    <t>affix_p03</t>
  </si>
  <si>
    <t>둔한</t>
  </si>
  <si>
    <t>2차 감소(트레이드오프)</t>
  </si>
  <si>
    <t>affix_p04</t>
  </si>
  <si>
    <t>날카로운</t>
  </si>
  <si>
    <t>wea2</t>
  </si>
  <si>
    <t>affix_p05</t>
  </si>
  <si>
    <t>잔혹한</t>
  </si>
  <si>
    <t>affix_s01</t>
  </si>
  <si>
    <t>곰의</t>
  </si>
  <si>
    <t>suffix</t>
  </si>
  <si>
    <t>affix_s02</t>
  </si>
  <si>
    <t>방벽의</t>
  </si>
  <si>
    <t>affix_s03</t>
  </si>
  <si>
    <t>무딘</t>
  </si>
  <si>
    <t>2차 감소</t>
  </si>
  <si>
    <t>affix_s04</t>
  </si>
  <si>
    <t>표범의</t>
  </si>
  <si>
    <t>affix_s05</t>
  </si>
  <si>
    <t>광기의</t>
  </si>
  <si>
    <t>affix_p06</t>
  </si>
  <si>
    <t>단단한</t>
  </si>
  <si>
    <t>armor</t>
  </si>
  <si>
    <t>arm1</t>
  </si>
  <si>
    <t>예시 그룹 배치</t>
  </si>
  <si>
    <t>affix_p07</t>
  </si>
  <si>
    <t>매서운</t>
  </si>
  <si>
    <t>arm3</t>
  </si>
  <si>
    <t>affix_p08</t>
  </si>
  <si>
    <t>둔중한</t>
  </si>
  <si>
    <t>arm2</t>
  </si>
  <si>
    <t>affix_p09</t>
  </si>
  <si>
    <t>견고한</t>
  </si>
  <si>
    <t>affix_p10</t>
  </si>
  <si>
    <t>강인한</t>
  </si>
  <si>
    <t>arm4</t>
  </si>
  <si>
    <t>affix_p11</t>
  </si>
  <si>
    <t>무거운</t>
  </si>
  <si>
    <t>affix_s06</t>
  </si>
  <si>
    <t>통찰의</t>
  </si>
  <si>
    <t>affix_s07</t>
  </si>
  <si>
    <t>각성의</t>
  </si>
  <si>
    <t>affix_s08</t>
  </si>
  <si>
    <t>황소의</t>
  </si>
  <si>
    <t>affix_s09</t>
  </si>
  <si>
    <t>수호의</t>
  </si>
  <si>
    <t>affix_s10</t>
  </si>
  <si>
    <t>재생의</t>
  </si>
  <si>
    <t>ArtifactID</t>
  </si>
  <si>
    <t>ArtifactName_KR</t>
  </si>
  <si>
    <t>ArtifactName_EN</t>
  </si>
  <si>
    <t>Slot</t>
  </si>
  <si>
    <t>Stat1</t>
  </si>
  <si>
    <t>Stat1_KR</t>
  </si>
  <si>
    <t>Value1_Low</t>
  </si>
  <si>
    <t>Value1_High</t>
  </si>
  <si>
    <t>Stat2</t>
  </si>
  <si>
    <t>Stat2_KR</t>
  </si>
  <si>
    <t>Value2_Low</t>
  </si>
  <si>
    <t>Value2_High</t>
  </si>
  <si>
    <t>GrowthTag_Str</t>
  </si>
  <si>
    <t>GrowthTag_Dex</t>
  </si>
  <si>
    <t>GrowthTag_Vit</t>
  </si>
  <si>
    <t>GrowthTag_Will</t>
  </si>
  <si>
    <t>MaxDurability</t>
  </si>
  <si>
    <t>DropRate</t>
  </si>
  <si>
    <t>art_watch_worn</t>
  </si>
  <si>
    <t>낡은 손목시계</t>
  </si>
  <si>
    <t>Worn Wristwatch</t>
  </si>
  <si>
    <t>Artifact_Worn</t>
  </si>
  <si>
    <t>착장형·소량 상승</t>
  </si>
  <si>
    <t>art_ring_iron</t>
  </si>
  <si>
    <t>무쇠 반지</t>
  </si>
  <si>
    <t>Iron Ring</t>
  </si>
  <si>
    <t>art_necklace_old</t>
  </si>
  <si>
    <t>오래된 목걸이</t>
  </si>
  <si>
    <t>Old Necklace</t>
  </si>
  <si>
    <t>art_shoes_worn</t>
  </si>
  <si>
    <t>낡은 운동화</t>
  </si>
  <si>
    <t>Worn Sneakers</t>
  </si>
  <si>
    <t>art_boots_heavy</t>
  </si>
  <si>
    <t>무거운 군화</t>
  </si>
  <si>
    <t>Heavy Combat Boots</t>
  </si>
  <si>
    <t>착장형·회피↓+체력태그 조합 예시</t>
  </si>
  <si>
    <t>art_charm_paper</t>
  </si>
  <si>
    <t>종이 부적</t>
  </si>
  <si>
    <t>Paper Charm</t>
  </si>
  <si>
    <t>Artifact_Carried</t>
  </si>
  <si>
    <t>소지형·소량 상승</t>
  </si>
  <si>
    <t>art_magazine_old</t>
  </si>
  <si>
    <t>옛날 잡지</t>
  </si>
  <si>
    <t>Old Magazine</t>
  </si>
  <si>
    <t>art_keychain_metal</t>
  </si>
  <si>
    <t>금속 열쇠고리</t>
  </si>
  <si>
    <t>Metal Keychain</t>
  </si>
  <si>
    <t>art_doll_worn</t>
  </si>
  <si>
    <t>낡은 인형</t>
  </si>
  <si>
    <t>Worn Doll</t>
  </si>
  <si>
    <t>art_book_heavy</t>
  </si>
  <si>
    <t>두꺼운 책</t>
  </si>
  <si>
    <t>Heavy Book</t>
  </si>
  <si>
    <t>소지형·방어↑+공속↓ 트레이드오프</t>
  </si>
  <si>
    <t>ShopID</t>
  </si>
  <si>
    <t>ItemName_KR</t>
  </si>
  <si>
    <t>ItemName_EN</t>
  </si>
  <si>
    <t>ItemID</t>
  </si>
  <si>
    <t>BuyPrice</t>
  </si>
  <si>
    <t>StockMax</t>
  </si>
  <si>
    <t>shop_clinic</t>
  </si>
  <si>
    <t>붕대</t>
  </si>
  <si>
    <t>응급 키트</t>
  </si>
  <si>
    <t>지혈 주사기</t>
  </si>
  <si>
    <t>SellPrice</t>
  </si>
  <si>
    <t>EffectStat</t>
  </si>
  <si>
    <t>EffectValue</t>
  </si>
  <si>
    <t>EffectDuration</t>
  </si>
  <si>
    <t>item_scrap_metal</t>
  </si>
  <si>
    <t>고철</t>
  </si>
  <si>
    <t>Scrap Metal</t>
  </si>
  <si>
    <t>Junk</t>
  </si>
  <si>
    <t>여기저기 굴러다니는 고철. 수리·강화 재료로 쓰인다.</t>
  </si>
  <si>
    <t>none</t>
  </si>
  <si>
    <t>강화/수리 재료</t>
  </si>
  <si>
    <t>item_electronic_parts</t>
  </si>
  <si>
    <t>전자 부품</t>
  </si>
  <si>
    <t>Electronic Parts</t>
  </si>
  <si>
    <t>고장난 기기에서 뜯어낸 전자 부품.</t>
  </si>
  <si>
    <t>재료</t>
  </si>
  <si>
    <t>item_machine_parts</t>
  </si>
  <si>
    <t>기계 부품</t>
  </si>
  <si>
    <t>Machine Parts</t>
  </si>
  <si>
    <t>기계에서 나온 정교한 부품.</t>
  </si>
  <si>
    <t>item_mutant_tissue</t>
  </si>
  <si>
    <t>변이 조직</t>
  </si>
  <si>
    <t>Mutant Tissue</t>
  </si>
  <si>
    <t>변이체에게서 채취한 기이한 조직.</t>
  </si>
  <si>
    <t>희귀 재료</t>
  </si>
  <si>
    <t>item_old_rope</t>
  </si>
  <si>
    <t>낡은 로프</t>
  </si>
  <si>
    <t>Old Rope</t>
  </si>
  <si>
    <t>해지고 낡은 밧줄. 팔면 약간의 돈이 된다.</t>
  </si>
  <si>
    <t>판매용</t>
  </si>
  <si>
    <t>item_food_coffee</t>
  </si>
  <si>
    <t>원두 한 줌</t>
  </si>
  <si>
    <t>Handful of Coffee Beans</t>
  </si>
  <si>
    <t>Food</t>
  </si>
  <si>
    <t>진짜 원두. 안전가옥에서 내려 마시면 잠시 정신이 맑아진다.</t>
  </si>
  <si>
    <t>buff</t>
  </si>
  <si>
    <t>atk_speed</t>
  </si>
  <si>
    <t>버프 전용(안전가옥)</t>
  </si>
  <si>
    <t>item_food_jerky</t>
  </si>
  <si>
    <t>훈제육</t>
  </si>
  <si>
    <t>Smoked Jerky</t>
  </si>
  <si>
    <t>제대로 조리한 고기. 포만감이 스태미너를 채워준다.</t>
  </si>
  <si>
    <t>stamina</t>
  </si>
  <si>
    <t>스태미너 회복</t>
  </si>
  <si>
    <t>item_food_stew</t>
  </si>
  <si>
    <t>영양 스튜</t>
  </si>
  <si>
    <t>Nourishing Stew</t>
  </si>
  <si>
    <t>김이 오르는 따뜻한 스튜. 스태미너를 채워준다.</t>
  </si>
  <si>
    <t>item_food_canfruit</t>
  </si>
  <si>
    <t>통조림 과일</t>
  </si>
  <si>
    <t>Canned Fruit</t>
  </si>
  <si>
    <t>달콤한 시럽에 절인 과일. 소소한 스태미너를 회복한다.</t>
  </si>
  <si>
    <t>하급 스태미너 회복</t>
  </si>
  <si>
    <t>item_food_energybar</t>
  </si>
  <si>
    <t>비상 식량바</t>
  </si>
  <si>
    <t>Emergency Ration Bar</t>
  </si>
  <si>
    <t>딱딱하지만 든든한 비상용 식량. 스태미너를 크게 회복한다.</t>
  </si>
  <si>
    <t>상급 스태미너 회복</t>
  </si>
  <si>
    <t>item_med_bandage</t>
  </si>
  <si>
    <t>Bandage</t>
  </si>
  <si>
    <t>Medicine</t>
  </si>
  <si>
    <t>출정 중 상처를 감아 체력을 회복한다.</t>
  </si>
  <si>
    <t>heal</t>
  </si>
  <si>
    <t>하급 회복</t>
  </si>
  <si>
    <t>item_med_kit</t>
  </si>
  <si>
    <t>First-aid Kit</t>
  </si>
  <si>
    <t>기본적인 응급 처치 도구. 체력을 회복한다.</t>
  </si>
  <si>
    <t>중급 회복</t>
  </si>
  <si>
    <t>item_med_syringe</t>
  </si>
  <si>
    <t>Hemostatic Syringe</t>
  </si>
  <si>
    <t>즉시 많은 체력을 회복하는 고급 회복제.</t>
  </si>
  <si>
    <t>고급 회복</t>
  </si>
  <si>
    <t>item_med_painkiller</t>
  </si>
  <si>
    <t>진통제</t>
  </si>
  <si>
    <t>Painkiller</t>
  </si>
  <si>
    <t>통증을 억누르고 소량의 체력을 회복한다.</t>
  </si>
  <si>
    <t>item_med_antidote</t>
  </si>
  <si>
    <t>해독제</t>
  </si>
  <si>
    <t>Antidote</t>
  </si>
  <si>
    <t>오염된 상처를 치료하며 체력을 회복한다.</t>
  </si>
  <si>
    <t>중상급 회복</t>
  </si>
  <si>
    <t>item_quest_photo</t>
  </si>
  <si>
    <t>낡은 사진</t>
  </si>
  <si>
    <t>Old Photograph</t>
  </si>
  <si>
    <t>Quest</t>
  </si>
  <si>
    <t>누군가에게 전달해야 하는 빛바랜 사진.</t>
  </si>
  <si>
    <t>퀘스트 예시</t>
  </si>
  <si>
    <t>item_quest_dogtag</t>
  </si>
  <si>
    <t>낡은 군번줄</t>
  </si>
  <si>
    <t>Worn Dog Tag</t>
  </si>
  <si>
    <t>이름이 새겨진 낡은 군번줄. 사연이 있어 보인다.</t>
  </si>
  <si>
    <t>item_quest_letter</t>
  </si>
  <si>
    <t>봉인된 편지</t>
  </si>
  <si>
    <t>Sealed Letter</t>
  </si>
  <si>
    <t>누군가에 남겨진 편지, 어디에서 누구에게 기록된건지 알 수가없다.</t>
  </si>
  <si>
    <t>item_quest_keydata</t>
  </si>
  <si>
    <t>손상된 USB</t>
  </si>
  <si>
    <t>Damaged USB</t>
  </si>
  <si>
    <t>일부 데이터가 남아있는 손상된 USB. 누군가 찾고 있다.</t>
  </si>
  <si>
    <t>item_quest_medallion</t>
  </si>
  <si>
    <t>빛바랜 훈장</t>
  </si>
  <si>
    <t>Faded Medallion</t>
  </si>
  <si>
    <t>오래된 군용 훈장. 주인에게 의미가 있어 보인다.</t>
  </si>
  <si>
    <t>item_police_keycard</t>
  </si>
  <si>
    <t>경찰서 키카드</t>
  </si>
  <si>
    <t>Police Keycard</t>
  </si>
  <si>
    <t>봉쇄된 경찰서의 비상 셔터를 여는 키카드.</t>
  </si>
  <si>
    <t>히든존 언락(city_01_police)</t>
  </si>
  <si>
    <t>item_submarine_key</t>
  </si>
  <si>
    <t>잠수함 해치 키</t>
  </si>
  <si>
    <t>Submarine Hatch Key</t>
  </si>
  <si>
    <t>떠오른 잠수함의 밀폐 해치를 여는 열쇠.</t>
  </si>
  <si>
    <t>히든존 언락(city_02_submarine)</t>
  </si>
  <si>
    <t>item_a4_paper</t>
  </si>
  <si>
    <t>종이 용지</t>
  </si>
  <si>
    <t>Print Paper</t>
  </si>
  <si>
    <t>어디서나 쉽게 볼 수 있는 용지</t>
  </si>
  <si>
    <t>item_banana</t>
  </si>
  <si>
    <t>썩은 바나나</t>
  </si>
  <si>
    <t>Banana</t>
  </si>
  <si>
    <t>건조해져 말라 비틀어진 바나나</t>
  </si>
  <si>
    <t>CityID</t>
  </si>
  <si>
    <t>CityName_KR</t>
  </si>
  <si>
    <t>CityName_EN</t>
  </si>
  <si>
    <t>DifficultyTier</t>
  </si>
  <si>
    <t>Theme</t>
  </si>
  <si>
    <t>UnlockCondition</t>
  </si>
  <si>
    <t>city_01</t>
  </si>
  <si>
    <t>하람</t>
  </si>
  <si>
    <t>Haram</t>
  </si>
  <si>
    <t>무너진 위성도시</t>
  </si>
  <si>
    <t>한때 수만 명이 오가던 위성도시. 신호가 끊긴 거리엔 이제 굶주린 것들의 발소리만 울린다.</t>
  </si>
  <si>
    <t>첫 플레이 도시</t>
  </si>
  <si>
    <t>city_02</t>
  </si>
  <si>
    <t>예류</t>
  </si>
  <si>
    <t>Yeryu</t>
  </si>
  <si>
    <t>침수된 항만도시</t>
  </si>
  <si>
    <t>바닷물에 반쯤 잠긴 항구. 부패한 습기 아래로, 물에 잠긴 것들이 숨죽여 기다린다.</t>
  </si>
  <si>
    <t>city_03</t>
  </si>
  <si>
    <t>강천</t>
  </si>
  <si>
    <t>Gangcheon</t>
  </si>
  <si>
    <t>폐쇄된 공업도시</t>
  </si>
  <si>
    <t>기계가 멈추지 않는 버려진 공장지대. 녹슨 쇳덩이와 변이체가 뒤엉켜 도시를 삼켰다.</t>
  </si>
  <si>
    <t>ZoneID</t>
  </si>
  <si>
    <t>ZoneName_KR</t>
  </si>
  <si>
    <t>ZoneName_EN</t>
  </si>
  <si>
    <t>LootFocus</t>
  </si>
  <si>
    <t>IsHidden</t>
  </si>
  <si>
    <t>UnlockType</t>
  </si>
  <si>
    <t>UnlockKey</t>
  </si>
  <si>
    <t>city_01_mall</t>
  </si>
  <si>
    <t>버려진 상가</t>
  </si>
  <si>
    <t>Abandoned Mall</t>
  </si>
  <si>
    <t>무너진 위성도시의 낡은 쇼핑몰. 먼지 쌓인 진열대에 흔한 물자가 남아있다.</t>
  </si>
  <si>
    <t>생필품·의료품</t>
  </si>
  <si>
    <t>always</t>
  </si>
  <si>
    <t>city_01_houses</t>
  </si>
  <si>
    <t>폐가 밀집지</t>
  </si>
  <si>
    <t>Abandoned Houses</t>
  </si>
  <si>
    <t>버려진 주택들이 늘어선 골목. 조용하지만 방심은 금물이다.</t>
  </si>
  <si>
    <t>잡화·기본 재료</t>
  </si>
  <si>
    <t>city_01_tower</t>
  </si>
  <si>
    <t>녹슨 송신탑</t>
  </si>
  <si>
    <t>Rusted Transmission Tower</t>
  </si>
  <si>
    <t>도시를 내려다보는 낡은 송신탑. 아직 뜯어낼 전자 부품이 남아있다.</t>
  </si>
  <si>
    <t>city_01_police</t>
  </si>
  <si>
    <t>봉쇄된 경찰서</t>
  </si>
  <si>
    <t>Sealed Police Station</t>
  </si>
  <si>
    <t>비상 셔터로 굳게 잠긴 경찰서. 안에는 손대지 않은 물자가 잠들어 있다.</t>
  </si>
  <si>
    <t>무기·탄약·희귀 재료</t>
  </si>
  <si>
    <t>item</t>
  </si>
  <si>
    <t>히든 존·아이템 언락</t>
  </si>
  <si>
    <t>city_02_docks</t>
  </si>
  <si>
    <t>침수된 부두</t>
  </si>
  <si>
    <t>Flooded Docks</t>
  </si>
  <si>
    <t>바닷물에 잠긴 항구의 부두. 미끄러운 발판 아래로 위험이 도사린다.</t>
  </si>
  <si>
    <t>금속·로프</t>
  </si>
  <si>
    <t>city_02_market</t>
  </si>
  <si>
    <t>버려진 어시장</t>
  </si>
  <si>
    <t>Abandoned Fish Market</t>
  </si>
  <si>
    <t>썩은 냄새가 진동하는 어시장. 부패한 어둠 속에 물자가 잠겨 있다.</t>
  </si>
  <si>
    <t>식재료·부패물</t>
  </si>
  <si>
    <t>city_02_ship</t>
  </si>
  <si>
    <t>좌초된 화물선</t>
  </si>
  <si>
    <t>Grounded Cargo Ship</t>
  </si>
  <si>
    <t>해안에 걸린 대형 화물선. 기울어진 선체 안에 값진 화물이 잠들어 있다.</t>
  </si>
  <si>
    <t>화물·희귀 재료</t>
  </si>
  <si>
    <t>city_02_submarine</t>
  </si>
  <si>
    <t>떠오른 잠수함</t>
  </si>
  <si>
    <t>Surfaced Submarine</t>
  </si>
  <si>
    <t>수면 위로 밀려 올라온 정체불명의 잠수함. 밀폐된 해치 너머는 아무도 본 적이 없다.</t>
  </si>
  <si>
    <t>군용 물자·희귀 부품</t>
  </si>
  <si>
    <t>city_03_mill</t>
  </si>
  <si>
    <t>폐쇄된 제철소</t>
  </si>
  <si>
    <t>Abandoned Steel Mill</t>
  </si>
  <si>
    <t>가동을 멈춘 거대한 제철소. 식지 않은 강철과 위험이 뒤엉켜 있다.</t>
  </si>
  <si>
    <t>금속·강철</t>
  </si>
  <si>
    <t>city_03_dump</t>
  </si>
  <si>
    <t>화학 폐기장</t>
  </si>
  <si>
    <t>Chemical Dumpsite</t>
  </si>
  <si>
    <t>유독물질이 흘러내리는 폐기장. 변이체가 그 속에서 우글거린다.</t>
  </si>
  <si>
    <t>화학물·변이 재료</t>
  </si>
  <si>
    <t>city_03_warehouse</t>
  </si>
  <si>
    <t>자동화 물류창고</t>
  </si>
  <si>
    <t>Automated Warehouse</t>
  </si>
  <si>
    <t>여전히 작동하는 경비 기계가 순찰을 도는 창고. 침입자를 반기지 않는다.</t>
  </si>
  <si>
    <t>VendorID</t>
  </si>
  <si>
    <t>VendorName_KR</t>
  </si>
  <si>
    <t>VendorName_EN</t>
  </si>
  <si>
    <t>ShopType</t>
  </si>
  <si>
    <t>TradeCategories</t>
  </si>
  <si>
    <t>vendor_clinic</t>
  </si>
  <si>
    <t>유리 소콜로프</t>
  </si>
  <si>
    <t>Yuri Sokolov</t>
  </si>
  <si>
    <t>보건소를 지키는 전직 군의관. 말수가 적고 손이 정확하다. 약값은 깎아주지 않지만, 위독한 자는 그냥 눕혀준다.</t>
  </si>
  <si>
    <t>보건소 담당</t>
  </si>
  <si>
    <t>vendor_hardware</t>
  </si>
  <si>
    <t>딘 카터</t>
  </si>
  <si>
    <t>Dean Carter</t>
  </si>
  <si>
    <t>shop_hardware</t>
  </si>
  <si>
    <t>철물점의 고물상. 고철 더미 속에서 뭐든 찾아내는 수완가. 농담이 많지만 흥정엔 빈틈이 없다.</t>
  </si>
  <si>
    <t>철물점 담당</t>
  </si>
  <si>
    <t>vendor_canteen</t>
  </si>
  <si>
    <t>아미라 하산</t>
  </si>
  <si>
    <t>Amira Hassan</t>
  </si>
  <si>
    <t>shop_canteen</t>
  </si>
  <si>
    <t>급식소의 요리사. 배급 식재료로 기적 같은 한 끼를 만든다. 굶주린 자를 그냥 보내지 못하는 정 많은 성격.</t>
  </si>
  <si>
    <t>급식소 담당</t>
  </si>
  <si>
    <t>vendor_blackmarket</t>
  </si>
  <si>
    <t>카이토 렌</t>
  </si>
  <si>
    <t>Kaito Ren</t>
  </si>
  <si>
    <t>BlackMarket</t>
  </si>
  <si>
    <t>Weapon,Armor</t>
  </si>
  <si>
    <t>shop_blackmarket</t>
  </si>
  <si>
    <t>얼굴 절반을 가린 밀매상. 무기와 방어구를 뒷거래한다. 출처는 묻지 않고, 값은 부르는 게 값이다.</t>
  </si>
  <si>
    <t>암시장 담당</t>
  </si>
  <si>
    <t>vendor_pawnshop</t>
  </si>
  <si>
    <t>마르타 콜</t>
  </si>
  <si>
    <t>Marta Kohl</t>
  </si>
  <si>
    <t>Pawnshop</t>
  </si>
  <si>
    <t>Artifact_Worn,Artifact_Carried</t>
  </si>
  <si>
    <t>shop_pawnshop</t>
  </si>
  <si>
    <t>장물과 골동을 감정하는 노회한 전당포 주인. 값진 물건을 알아보는 눈이 매섭다.</t>
  </si>
  <si>
    <t>전당포 담당</t>
  </si>
  <si>
    <t>MonsterID</t>
  </si>
  <si>
    <t>MonsterName_KR</t>
  </si>
  <si>
    <t>MonsterName_EN</t>
  </si>
  <si>
    <t>SpawnZones</t>
  </si>
  <si>
    <t>BaseHP</t>
  </si>
  <si>
    <t>MinATK</t>
  </si>
  <si>
    <t>MaxATK</t>
  </si>
  <si>
    <t>AttackSpeed</t>
  </si>
  <si>
    <t>CritChance</t>
  </si>
  <si>
    <t>StatusResist</t>
  </si>
  <si>
    <t>CritResist</t>
  </si>
  <si>
    <t>StatusAttack</t>
  </si>
  <si>
    <t>Potency</t>
  </si>
  <si>
    <t>Grade</t>
  </si>
  <si>
    <t>StaminaCost</t>
  </si>
  <si>
    <t>CombatTimeLimit</t>
  </si>
  <si>
    <t>Material</t>
  </si>
  <si>
    <t>monster_feral_dog</t>
  </si>
  <si>
    <t>들개</t>
  </si>
  <si>
    <t>Feral Dog</t>
  </si>
  <si>
    <t>Beast</t>
  </si>
  <si>
    <t>city_01_mall,city_01_houses</t>
  </si>
  <si>
    <t>굶주려 사나워진 들개. 빠르지만 약하다.</t>
  </si>
  <si>
    <t>Common</t>
  </si>
  <si>
    <t>monster_scavenger</t>
  </si>
  <si>
    <t>굶주린 부랑자</t>
  </si>
  <si>
    <t>Starving Scavenger</t>
  </si>
  <si>
    <t>Human</t>
  </si>
  <si>
    <t>city_01_mall,city_01_tower</t>
  </si>
  <si>
    <t>물자를 뒤지는 부랑자. 평범하지만 방심은 금물.</t>
  </si>
  <si>
    <t>monster_haram_warden</t>
  </si>
  <si>
    <t>하람의 파수꾼</t>
  </si>
  <si>
    <t>Warden of Haram</t>
  </si>
  <si>
    <t>Machine</t>
  </si>
  <si>
    <t>송신탑을 지키는 낡은 경비 로봇.</t>
  </si>
  <si>
    <t>Unique</t>
  </si>
  <si>
    <t>monster_mutant_crab</t>
  </si>
  <si>
    <t>변이 게</t>
  </si>
  <si>
    <t>Mutant Crab</t>
  </si>
  <si>
    <t>Infected</t>
  </si>
  <si>
    <t>city_02_docks,city_02_market</t>
  </si>
  <si>
    <t>단단한 껍질로 뒤덮인 변이 게. 방어가 높다.</t>
  </si>
  <si>
    <t>Rare</t>
  </si>
  <si>
    <t>monster_drowned</t>
  </si>
  <si>
    <t>익사자</t>
  </si>
  <si>
    <t>The Drowned</t>
  </si>
  <si>
    <t>city_02_docks,city_02_ship</t>
  </si>
  <si>
    <t>물에 잠겼다 되살아난 것. 축축하고 끈질기다.</t>
  </si>
  <si>
    <t>monster_yeryu_leviathan</t>
  </si>
  <si>
    <t>부두의 거수</t>
  </si>
  <si>
    <t>Leviathan of Yeryu</t>
  </si>
  <si>
    <t>화물선에 자리 잡은 거대한 변이체.</t>
  </si>
  <si>
    <t>Special</t>
  </si>
  <si>
    <t>monster_rogue_drone</t>
  </si>
  <si>
    <t>폭주 드론</t>
  </si>
  <si>
    <t>Rogue Drone</t>
  </si>
  <si>
    <t>city_03_mill,city_03_warehouse</t>
  </si>
  <si>
    <t>통제를 잃고 공격하는 순찰 드론. 장갑이 두껍다.</t>
  </si>
  <si>
    <t>monster_chem_horror</t>
  </si>
  <si>
    <t>화학 변이체</t>
  </si>
  <si>
    <t>Chemical Horror</t>
  </si>
  <si>
    <t>유독물질에 뒤틀린 살덩이. 느리지만 끈질기다.</t>
  </si>
  <si>
    <t>monster_gangcheon_golem</t>
  </si>
  <si>
    <t>폐기물 골렘</t>
  </si>
  <si>
    <t>Scrap Golem of Gangcheon</t>
  </si>
  <si>
    <t>고철이 뭉쳐 만들어진 거대 골렘.</t>
  </si>
  <si>
    <t>monster_rogue_alley</t>
  </si>
  <si>
    <t>골목길 불량배</t>
  </si>
  <si>
    <t>Alley Thug</t>
  </si>
  <si>
    <t>골목을 배회하는 불량배. 약하지만 재빠르다.</t>
  </si>
  <si>
    <t>WeaponID</t>
  </si>
  <si>
    <t>WeaponName_KR</t>
  </si>
  <si>
    <t>WeaponName_EN</t>
  </si>
  <si>
    <t>MinAtk_Low</t>
  </si>
  <si>
    <t>MinAtk_High</t>
  </si>
  <si>
    <t>MaxAtk_Low</t>
  </si>
  <si>
    <t>MaxAtk_High</t>
  </si>
  <si>
    <t>PrefixGroups</t>
  </si>
  <si>
    <t>SuffixGroups</t>
  </si>
  <si>
    <t>weapon_iron_pipe</t>
  </si>
  <si>
    <t>쇠파이프</t>
  </si>
  <si>
    <t>Iron Pipe</t>
  </si>
  <si>
    <t>Weapon</t>
  </si>
  <si>
    <t>금속</t>
  </si>
  <si>
    <t>weapon_wooden_sword</t>
  </si>
  <si>
    <t>목검</t>
  </si>
  <si>
    <t>Wooden Sword</t>
  </si>
  <si>
    <t>목재</t>
  </si>
  <si>
    <t>약한 출혈·기본 무기</t>
  </si>
  <si>
    <t>weapon_spear</t>
  </si>
  <si>
    <t>장창</t>
  </si>
  <si>
    <t>Spear</t>
  </si>
  <si>
    <t>wea1,wea2</t>
  </si>
  <si>
    <t>weapon_sledgehammer</t>
  </si>
  <si>
    <t>대형 해머</t>
  </si>
  <si>
    <t>Sledgehammer</t>
  </si>
  <si>
    <t>weapon_hatchet</t>
  </si>
  <si>
    <t>손도끼</t>
  </si>
  <si>
    <t>Hatchet</t>
  </si>
  <si>
    <t>베기·치명타형</t>
  </si>
  <si>
    <t>ArmorID</t>
  </si>
  <si>
    <t>ArmorName_KR</t>
  </si>
  <si>
    <t>ArmorName_EN</t>
  </si>
  <si>
    <t>Def_Low</t>
  </si>
  <si>
    <t>Def_High</t>
  </si>
  <si>
    <t>armor_cloth_hood</t>
  </si>
  <si>
    <t>천 후드</t>
  </si>
  <si>
    <t>Cloth Hood</t>
  </si>
  <si>
    <t>Head</t>
  </si>
  <si>
    <t>섬유</t>
  </si>
  <si>
    <t>arm1,arm4</t>
  </si>
  <si>
    <t>arm3,arm4</t>
  </si>
  <si>
    <t>가벼움·회피형</t>
  </si>
  <si>
    <t>armor_steel_helmet</t>
  </si>
  <si>
    <t>철제 투구</t>
  </si>
  <si>
    <t>Steel Helmet</t>
  </si>
  <si>
    <t>arm2,arm3</t>
  </si>
  <si>
    <t>방어형·무거움</t>
  </si>
  <si>
    <t>armor_leather_jacket</t>
  </si>
  <si>
    <t>가죽 재킷</t>
  </si>
  <si>
    <t>Leather Jacket</t>
  </si>
  <si>
    <t>Body</t>
  </si>
  <si>
    <t>합성</t>
  </si>
  <si>
    <t>arm1,arm2</t>
  </si>
  <si>
    <t>균형형</t>
  </si>
  <si>
    <t>armor_steel_plate</t>
  </si>
  <si>
    <t>철제 갑옷</t>
  </si>
  <si>
    <t>Steel Plate</t>
  </si>
  <si>
    <t>LootID</t>
  </si>
  <si>
    <t>MinQty</t>
  </si>
  <si>
    <t>MaxQty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</si>
</sst>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horizontal="right" vertical="bottom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1" numFmtId="0" xfId="0" applyAlignment="1" applyFont="1">
      <alignment horizontal="left"/>
    </xf>
    <xf borderId="0" fillId="0" fontId="1" numFmtId="0" xfId="0" applyAlignment="1" applyFont="1">
      <alignment horizontal="right"/>
    </xf>
    <xf borderId="0" fillId="0" fontId="1" numFmtId="0" xfId="0" applyFont="1"/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88"/>
    <col customWidth="1" min="2" max="2" width="36.38"/>
    <col customWidth="1" min="3" max="3" width="62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>
        <v>5.0</v>
      </c>
      <c r="C2" s="1" t="s">
        <v>6</v>
      </c>
      <c r="D2" s="1" t="s">
        <v>7</v>
      </c>
      <c r="E2" s="2">
        <v>46209.0</v>
      </c>
    </row>
    <row r="3">
      <c r="A3" s="1" t="s">
        <v>8</v>
      </c>
      <c r="B3" s="1">
        <v>1.35</v>
      </c>
      <c r="C3" s="1" t="s">
        <v>9</v>
      </c>
      <c r="D3" s="1" t="s">
        <v>7</v>
      </c>
      <c r="E3" s="2">
        <v>46209.0</v>
      </c>
    </row>
    <row r="4">
      <c r="A4" s="1" t="s">
        <v>10</v>
      </c>
      <c r="B4" s="1">
        <v>0.25</v>
      </c>
      <c r="C4" s="1" t="s">
        <v>11</v>
      </c>
      <c r="D4" s="1" t="s">
        <v>7</v>
      </c>
      <c r="E4" s="2">
        <v>46209.0</v>
      </c>
    </row>
    <row r="5">
      <c r="A5" s="1" t="s">
        <v>12</v>
      </c>
      <c r="B5" s="1">
        <v>0.25</v>
      </c>
      <c r="C5" s="1" t="s">
        <v>13</v>
      </c>
      <c r="D5" s="1" t="s">
        <v>7</v>
      </c>
      <c r="E5" s="2">
        <v>46209.0</v>
      </c>
    </row>
    <row r="6">
      <c r="A6" s="1" t="s">
        <v>14</v>
      </c>
      <c r="B6" s="1">
        <v>0.5</v>
      </c>
      <c r="C6" s="1" t="s">
        <v>15</v>
      </c>
      <c r="D6" s="1" t="s">
        <v>7</v>
      </c>
      <c r="E6" s="2">
        <v>46209.0</v>
      </c>
    </row>
    <row r="7">
      <c r="A7" s="1" t="s">
        <v>16</v>
      </c>
      <c r="B7" s="1">
        <v>0.9</v>
      </c>
      <c r="C7" s="1" t="s">
        <v>17</v>
      </c>
      <c r="D7" s="1" t="s">
        <v>7</v>
      </c>
      <c r="E7" s="2">
        <v>46209.0</v>
      </c>
    </row>
    <row r="8">
      <c r="A8" s="1" t="s">
        <v>18</v>
      </c>
      <c r="B8" s="1">
        <v>5.0</v>
      </c>
      <c r="C8" s="1" t="s">
        <v>19</v>
      </c>
      <c r="D8" s="1" t="s">
        <v>7</v>
      </c>
      <c r="E8" s="2">
        <v>46209.0</v>
      </c>
    </row>
    <row r="9">
      <c r="A9" s="1" t="s">
        <v>20</v>
      </c>
      <c r="B9" s="1">
        <v>0.05</v>
      </c>
      <c r="C9" s="1" t="s">
        <v>21</v>
      </c>
      <c r="D9" s="1" t="s">
        <v>7</v>
      </c>
      <c r="E9" s="2">
        <v>46211.0</v>
      </c>
    </row>
    <row r="10">
      <c r="A10" s="1" t="s">
        <v>22</v>
      </c>
      <c r="B10" s="1">
        <v>0.25</v>
      </c>
      <c r="C10" s="1" t="s">
        <v>23</v>
      </c>
      <c r="D10" s="1" t="s">
        <v>7</v>
      </c>
      <c r="E10" s="2">
        <v>46211.0</v>
      </c>
    </row>
    <row r="11">
      <c r="A11" s="1" t="s">
        <v>24</v>
      </c>
      <c r="B11" s="1">
        <v>3.0</v>
      </c>
      <c r="C11" s="1" t="s">
        <v>25</v>
      </c>
      <c r="D11" s="1" t="s">
        <v>7</v>
      </c>
      <c r="E11" s="2">
        <v>46211.0</v>
      </c>
    </row>
    <row r="12">
      <c r="A12" s="1" t="s">
        <v>26</v>
      </c>
      <c r="B12" s="1">
        <v>60.0</v>
      </c>
      <c r="C12" s="1" t="s">
        <v>27</v>
      </c>
      <c r="D12" s="1" t="s">
        <v>7</v>
      </c>
      <c r="E12" s="2">
        <v>46211.0</v>
      </c>
    </row>
    <row r="13">
      <c r="A13" s="1" t="s">
        <v>28</v>
      </c>
      <c r="B13" s="1">
        <v>0.05</v>
      </c>
      <c r="C13" s="1" t="s">
        <v>29</v>
      </c>
      <c r="D13" s="1" t="s">
        <v>7</v>
      </c>
      <c r="E13" s="2">
        <v>46211.0</v>
      </c>
    </row>
    <row r="14">
      <c r="A14" s="1" t="s">
        <v>30</v>
      </c>
      <c r="B14" s="1">
        <v>0.5</v>
      </c>
      <c r="C14" s="1" t="s">
        <v>31</v>
      </c>
      <c r="D14" s="1" t="s">
        <v>7</v>
      </c>
      <c r="E14" s="2">
        <v>46211.0</v>
      </c>
    </row>
    <row r="15">
      <c r="A15" s="1" t="s">
        <v>32</v>
      </c>
      <c r="B15" s="1">
        <v>1.5</v>
      </c>
      <c r="C15" s="1" t="s">
        <v>33</v>
      </c>
      <c r="D15" s="1" t="s">
        <v>7</v>
      </c>
      <c r="E15" s="2">
        <v>46211.0</v>
      </c>
    </row>
    <row r="16">
      <c r="A16" s="1" t="s">
        <v>34</v>
      </c>
      <c r="B16" s="3" t="s">
        <v>35</v>
      </c>
      <c r="C16" s="1" t="s">
        <v>36</v>
      </c>
      <c r="D16" s="1" t="s">
        <v>7</v>
      </c>
      <c r="E16" s="2">
        <v>46213.0</v>
      </c>
    </row>
    <row r="17">
      <c r="A17" s="1" t="s">
        <v>37</v>
      </c>
      <c r="B17" s="1">
        <v>1000.0</v>
      </c>
      <c r="C17" s="1" t="s">
        <v>38</v>
      </c>
      <c r="D17" s="1" t="s">
        <v>7</v>
      </c>
      <c r="E17" s="2">
        <v>46213.0</v>
      </c>
    </row>
    <row r="18">
      <c r="A18" s="1" t="s">
        <v>39</v>
      </c>
      <c r="B18" s="4" t="s">
        <v>40</v>
      </c>
      <c r="C18" s="1" t="s">
        <v>41</v>
      </c>
      <c r="D18" s="1" t="s">
        <v>7</v>
      </c>
      <c r="E18" s="2">
        <v>46213.0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2.13"/>
    <col customWidth="1" min="5" max="5" width="32.75"/>
    <col customWidth="1" min="6" max="6" width="20.88"/>
    <col customWidth="1" min="8" max="8" width="24.75"/>
    <col customWidth="1" min="10" max="10" width="17.0"/>
  </cols>
  <sheetData>
    <row r="1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3</v>
      </c>
      <c r="H1" s="1" t="s">
        <v>48</v>
      </c>
      <c r="I1" s="1" t="s">
        <v>4</v>
      </c>
    </row>
    <row r="2">
      <c r="A2" s="1" t="s">
        <v>49</v>
      </c>
      <c r="B2" s="1" t="s">
        <v>50</v>
      </c>
      <c r="C2" s="1" t="s">
        <v>51</v>
      </c>
      <c r="D2" s="1" t="s">
        <v>52</v>
      </c>
      <c r="E2" s="1" t="s">
        <v>53</v>
      </c>
      <c r="F2" s="1">
        <v>1.0</v>
      </c>
      <c r="G2" s="1" t="s">
        <v>7</v>
      </c>
      <c r="H2" s="1" t="s">
        <v>54</v>
      </c>
      <c r="I2" s="2">
        <v>46209.0</v>
      </c>
    </row>
    <row r="3">
      <c r="A3" s="1" t="s">
        <v>55</v>
      </c>
      <c r="B3" s="1" t="s">
        <v>56</v>
      </c>
      <c r="C3" s="1" t="s">
        <v>57</v>
      </c>
      <c r="D3" s="1" t="s">
        <v>58</v>
      </c>
      <c r="E3" s="1" t="s">
        <v>59</v>
      </c>
      <c r="F3" s="1">
        <v>2.0</v>
      </c>
      <c r="G3" s="1" t="s">
        <v>7</v>
      </c>
      <c r="H3" s="1" t="s">
        <v>54</v>
      </c>
      <c r="I3" s="2">
        <v>46209.0</v>
      </c>
    </row>
    <row r="4">
      <c r="A4" s="1" t="s">
        <v>60</v>
      </c>
      <c r="B4" s="1" t="s">
        <v>61</v>
      </c>
      <c r="C4" s="1" t="s">
        <v>62</v>
      </c>
      <c r="D4" s="1" t="s">
        <v>63</v>
      </c>
      <c r="E4" s="1" t="s">
        <v>64</v>
      </c>
      <c r="F4" s="1">
        <v>1.5</v>
      </c>
      <c r="G4" s="1" t="s">
        <v>7</v>
      </c>
      <c r="H4" s="1" t="s">
        <v>54</v>
      </c>
      <c r="I4" s="2">
        <v>46209.0</v>
      </c>
    </row>
    <row r="5">
      <c r="A5" s="1" t="s">
        <v>65</v>
      </c>
      <c r="B5" s="1" t="s">
        <v>66</v>
      </c>
      <c r="C5" s="1" t="s">
        <v>67</v>
      </c>
      <c r="D5" s="1" t="s">
        <v>68</v>
      </c>
      <c r="E5" s="1" t="s">
        <v>69</v>
      </c>
      <c r="F5" s="1">
        <v>4.0</v>
      </c>
      <c r="G5" s="1" t="s">
        <v>7</v>
      </c>
      <c r="H5" s="1" t="s">
        <v>54</v>
      </c>
      <c r="I5" s="2">
        <v>46209.0</v>
      </c>
    </row>
    <row r="9">
      <c r="K9" s="2"/>
    </row>
    <row r="10">
      <c r="K10" s="2"/>
    </row>
    <row r="11">
      <c r="K11" s="2"/>
    </row>
    <row r="12">
      <c r="K12" s="2"/>
    </row>
    <row r="13">
      <c r="K13" s="2"/>
    </row>
    <row r="14">
      <c r="K14" s="2"/>
    </row>
    <row r="15">
      <c r="K15" s="2"/>
    </row>
    <row r="16">
      <c r="K16" s="2"/>
    </row>
    <row r="17">
      <c r="K17" s="2"/>
    </row>
    <row r="18">
      <c r="K18" s="2"/>
    </row>
    <row r="19">
      <c r="K19" s="2"/>
    </row>
    <row r="20">
      <c r="K20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  <col customWidth="1" min="2" max="2" width="17.88"/>
    <col customWidth="1" min="3" max="3" width="19.0"/>
    <col customWidth="1" min="8" max="8" width="24.88"/>
    <col customWidth="1" min="10" max="10" width="20.5"/>
  </cols>
  <sheetData>
    <row r="1">
      <c r="A1" s="5" t="s">
        <v>70</v>
      </c>
      <c r="B1" s="5" t="s">
        <v>71</v>
      </c>
      <c r="C1" s="5" t="s">
        <v>72</v>
      </c>
      <c r="D1" s="5" t="s">
        <v>73</v>
      </c>
      <c r="E1" s="5" t="s">
        <v>74</v>
      </c>
      <c r="F1" s="5" t="s">
        <v>75</v>
      </c>
      <c r="G1" s="5" t="s">
        <v>76</v>
      </c>
      <c r="H1" s="5" t="s">
        <v>77</v>
      </c>
      <c r="I1" s="5" t="s">
        <v>78</v>
      </c>
      <c r="J1" s="1" t="s">
        <v>2</v>
      </c>
      <c r="K1" s="1" t="s">
        <v>3</v>
      </c>
      <c r="L1" s="1" t="s">
        <v>48</v>
      </c>
      <c r="M1" s="1" t="s">
        <v>4</v>
      </c>
    </row>
    <row r="2">
      <c r="A2" s="5" t="s">
        <v>79</v>
      </c>
      <c r="B2" s="5" t="s">
        <v>80</v>
      </c>
      <c r="C2" s="5" t="s">
        <v>81</v>
      </c>
      <c r="D2" s="5" t="s">
        <v>49</v>
      </c>
      <c r="E2" s="6">
        <v>0.08</v>
      </c>
      <c r="F2" s="5">
        <v>0.0</v>
      </c>
      <c r="G2" s="5" t="s">
        <v>82</v>
      </c>
      <c r="H2" s="5" t="s">
        <v>83</v>
      </c>
      <c r="I2" s="5" t="s">
        <v>84</v>
      </c>
      <c r="J2" s="1" t="s">
        <v>85</v>
      </c>
      <c r="K2" s="1" t="s">
        <v>7</v>
      </c>
      <c r="L2" s="1" t="s">
        <v>82</v>
      </c>
      <c r="M2" s="2">
        <v>46211.0</v>
      </c>
    </row>
    <row r="3">
      <c r="A3" s="5" t="s">
        <v>86</v>
      </c>
      <c r="B3" s="5" t="s">
        <v>87</v>
      </c>
      <c r="C3" s="5" t="s">
        <v>88</v>
      </c>
      <c r="D3" s="5" t="s">
        <v>49</v>
      </c>
      <c r="E3" s="6">
        <v>0.12</v>
      </c>
      <c r="F3" s="5">
        <v>0.0</v>
      </c>
      <c r="G3" s="5" t="s">
        <v>82</v>
      </c>
      <c r="H3" s="5" t="s">
        <v>83</v>
      </c>
      <c r="I3" s="5" t="s">
        <v>84</v>
      </c>
      <c r="J3" s="1" t="s">
        <v>89</v>
      </c>
      <c r="K3" s="1" t="s">
        <v>7</v>
      </c>
      <c r="L3" s="1" t="s">
        <v>82</v>
      </c>
      <c r="M3" s="2">
        <v>46211.0</v>
      </c>
    </row>
    <row r="4">
      <c r="A4" s="5" t="s">
        <v>90</v>
      </c>
      <c r="B4" s="5" t="s">
        <v>91</v>
      </c>
      <c r="C4" s="5" t="s">
        <v>92</v>
      </c>
      <c r="D4" s="5" t="s">
        <v>49</v>
      </c>
      <c r="E4" s="6">
        <v>0.06</v>
      </c>
      <c r="F4" s="5">
        <v>0.0</v>
      </c>
      <c r="G4" s="5" t="s">
        <v>82</v>
      </c>
      <c r="H4" s="5" t="s">
        <v>83</v>
      </c>
      <c r="I4" s="5" t="s">
        <v>93</v>
      </c>
      <c r="J4" s="1" t="s">
        <v>94</v>
      </c>
      <c r="K4" s="1" t="s">
        <v>7</v>
      </c>
      <c r="L4" s="1" t="s">
        <v>95</v>
      </c>
      <c r="M4" s="2">
        <v>46211.0</v>
      </c>
    </row>
    <row r="5">
      <c r="A5" s="5" t="s">
        <v>96</v>
      </c>
      <c r="B5" s="5" t="s">
        <v>97</v>
      </c>
      <c r="C5" s="5" t="s">
        <v>98</v>
      </c>
      <c r="D5" s="5" t="s">
        <v>55</v>
      </c>
      <c r="E5" s="6">
        <v>0.015</v>
      </c>
      <c r="F5" s="5">
        <v>1.0</v>
      </c>
      <c r="G5" s="5">
        <v>3.0</v>
      </c>
      <c r="H5" s="5" t="s">
        <v>99</v>
      </c>
      <c r="I5" s="5" t="s">
        <v>84</v>
      </c>
      <c r="J5" s="1" t="s">
        <v>100</v>
      </c>
      <c r="K5" s="1" t="s">
        <v>7</v>
      </c>
      <c r="L5" s="1" t="s">
        <v>101</v>
      </c>
      <c r="M5" s="2">
        <v>46211.0</v>
      </c>
    </row>
    <row r="6">
      <c r="A6" s="5" t="s">
        <v>102</v>
      </c>
      <c r="B6" s="5" t="s">
        <v>103</v>
      </c>
      <c r="C6" s="5" t="s">
        <v>104</v>
      </c>
      <c r="D6" s="5" t="s">
        <v>55</v>
      </c>
      <c r="E6" s="6">
        <v>0.08</v>
      </c>
      <c r="F6" s="5">
        <v>0.0</v>
      </c>
      <c r="G6" s="5" t="s">
        <v>82</v>
      </c>
      <c r="H6" s="5" t="s">
        <v>99</v>
      </c>
      <c r="I6" s="5" t="s">
        <v>84</v>
      </c>
      <c r="J6" s="1" t="s">
        <v>105</v>
      </c>
      <c r="K6" s="1" t="s">
        <v>7</v>
      </c>
      <c r="L6" s="1" t="s">
        <v>82</v>
      </c>
      <c r="M6" s="2">
        <v>46211.0</v>
      </c>
    </row>
    <row r="7">
      <c r="A7" s="5" t="s">
        <v>106</v>
      </c>
      <c r="B7" s="5" t="s">
        <v>107</v>
      </c>
      <c r="C7" s="5" t="s">
        <v>108</v>
      </c>
      <c r="D7" s="5" t="s">
        <v>55</v>
      </c>
      <c r="E7" s="6">
        <v>0.06</v>
      </c>
      <c r="F7" s="5">
        <v>0.0</v>
      </c>
      <c r="G7" s="5" t="s">
        <v>82</v>
      </c>
      <c r="H7" s="5" t="s">
        <v>99</v>
      </c>
      <c r="I7" s="5" t="s">
        <v>84</v>
      </c>
      <c r="J7" s="1" t="s">
        <v>109</v>
      </c>
      <c r="K7" s="1" t="s">
        <v>7</v>
      </c>
      <c r="L7" s="1" t="s">
        <v>82</v>
      </c>
      <c r="M7" s="2">
        <v>46211.0</v>
      </c>
    </row>
    <row r="8">
      <c r="A8" s="5" t="s">
        <v>110</v>
      </c>
      <c r="B8" s="5" t="s">
        <v>111</v>
      </c>
      <c r="C8" s="5" t="s">
        <v>112</v>
      </c>
      <c r="D8" s="5" t="s">
        <v>60</v>
      </c>
      <c r="E8" s="6">
        <v>1.2</v>
      </c>
      <c r="F8" s="5">
        <v>100.0</v>
      </c>
      <c r="G8" s="5" t="s">
        <v>82</v>
      </c>
      <c r="H8" s="5" t="s">
        <v>83</v>
      </c>
      <c r="I8" s="5" t="s">
        <v>84</v>
      </c>
      <c r="J8" s="1" t="s">
        <v>113</v>
      </c>
      <c r="K8" s="1" t="s">
        <v>7</v>
      </c>
      <c r="L8" s="1" t="s">
        <v>114</v>
      </c>
      <c r="M8" s="2">
        <v>46211.0</v>
      </c>
    </row>
    <row r="9">
      <c r="A9" s="5" t="s">
        <v>90</v>
      </c>
      <c r="B9" s="5" t="s">
        <v>91</v>
      </c>
      <c r="C9" s="5" t="s">
        <v>92</v>
      </c>
      <c r="D9" s="5" t="s">
        <v>60</v>
      </c>
      <c r="E9" s="6">
        <v>0.05</v>
      </c>
      <c r="F9" s="5">
        <v>0.0</v>
      </c>
      <c r="G9" s="5" t="s">
        <v>82</v>
      </c>
      <c r="H9" s="5" t="s">
        <v>83</v>
      </c>
      <c r="I9" s="5" t="s">
        <v>93</v>
      </c>
      <c r="J9" s="1" t="s">
        <v>115</v>
      </c>
      <c r="K9" s="1" t="s">
        <v>7</v>
      </c>
      <c r="L9" s="1" t="s">
        <v>95</v>
      </c>
      <c r="M9" s="2">
        <v>46211.0</v>
      </c>
    </row>
    <row r="10">
      <c r="A10" s="5" t="s">
        <v>116</v>
      </c>
      <c r="B10" s="5" t="s">
        <v>117</v>
      </c>
      <c r="C10" s="5" t="s">
        <v>118</v>
      </c>
      <c r="D10" s="5" t="s">
        <v>60</v>
      </c>
      <c r="E10" s="6">
        <v>0.2</v>
      </c>
      <c r="F10" s="5">
        <v>0.0</v>
      </c>
      <c r="G10" s="5" t="s">
        <v>82</v>
      </c>
      <c r="H10" s="5" t="s">
        <v>99</v>
      </c>
      <c r="I10" s="5" t="s">
        <v>93</v>
      </c>
      <c r="J10" s="1" t="s">
        <v>119</v>
      </c>
      <c r="K10" s="1" t="s">
        <v>7</v>
      </c>
      <c r="L10" s="1" t="s">
        <v>120</v>
      </c>
      <c r="M10" s="2">
        <v>46211.0</v>
      </c>
    </row>
    <row r="11">
      <c r="A11" s="5" t="s">
        <v>121</v>
      </c>
      <c r="B11" s="5" t="s">
        <v>122</v>
      </c>
      <c r="C11" s="5" t="s">
        <v>123</v>
      </c>
      <c r="D11" s="5" t="s">
        <v>65</v>
      </c>
      <c r="E11" s="6">
        <v>0.07</v>
      </c>
      <c r="F11" s="5">
        <v>2.0</v>
      </c>
      <c r="G11" s="5" t="s">
        <v>82</v>
      </c>
      <c r="H11" s="5" t="s">
        <v>99</v>
      </c>
      <c r="I11" s="5" t="s">
        <v>93</v>
      </c>
      <c r="J11" s="1" t="s">
        <v>124</v>
      </c>
      <c r="K11" s="1" t="s">
        <v>7</v>
      </c>
      <c r="L11" s="1" t="s">
        <v>125</v>
      </c>
      <c r="M11" s="2">
        <v>46211.0</v>
      </c>
    </row>
    <row r="12">
      <c r="A12" s="5" t="s">
        <v>126</v>
      </c>
      <c r="B12" s="5" t="s">
        <v>127</v>
      </c>
      <c r="C12" s="5" t="s">
        <v>128</v>
      </c>
      <c r="D12" s="5" t="s">
        <v>65</v>
      </c>
      <c r="E12" s="6">
        <v>0.05</v>
      </c>
      <c r="F12" s="5">
        <v>5.0</v>
      </c>
      <c r="G12" s="5" t="s">
        <v>82</v>
      </c>
      <c r="H12" s="5" t="s">
        <v>99</v>
      </c>
      <c r="I12" s="5" t="s">
        <v>93</v>
      </c>
      <c r="J12" s="1" t="s">
        <v>129</v>
      </c>
      <c r="K12" s="1" t="s">
        <v>7</v>
      </c>
      <c r="L12" s="1" t="s">
        <v>130</v>
      </c>
      <c r="M12" s="2">
        <v>46211.0</v>
      </c>
    </row>
    <row r="13">
      <c r="A13" s="5" t="s">
        <v>116</v>
      </c>
      <c r="B13" s="5" t="s">
        <v>117</v>
      </c>
      <c r="C13" s="5" t="s">
        <v>118</v>
      </c>
      <c r="D13" s="5" t="s">
        <v>65</v>
      </c>
      <c r="E13" s="6">
        <v>0.25</v>
      </c>
      <c r="F13" s="5">
        <v>0.0</v>
      </c>
      <c r="G13" s="5" t="s">
        <v>82</v>
      </c>
      <c r="H13" s="5" t="s">
        <v>99</v>
      </c>
      <c r="I13" s="5" t="s">
        <v>84</v>
      </c>
      <c r="J13" s="1" t="s">
        <v>119</v>
      </c>
      <c r="K13" s="1" t="s">
        <v>7</v>
      </c>
      <c r="L13" s="1" t="s">
        <v>120</v>
      </c>
      <c r="M13" s="2">
        <v>46211.0</v>
      </c>
    </row>
    <row r="15">
      <c r="K15" s="2"/>
    </row>
    <row r="16">
      <c r="K16" s="2"/>
    </row>
    <row r="17">
      <c r="K17" s="2"/>
    </row>
    <row r="18">
      <c r="K18" s="2"/>
    </row>
    <row r="19">
      <c r="K19" s="2"/>
    </row>
    <row r="20">
      <c r="K20" s="2"/>
    </row>
    <row r="21">
      <c r="K21" s="2"/>
    </row>
    <row r="22">
      <c r="K22" s="2"/>
    </row>
    <row r="23">
      <c r="K23" s="2"/>
    </row>
    <row r="24">
      <c r="K24" s="2"/>
    </row>
    <row r="25">
      <c r="K25" s="2"/>
    </row>
    <row r="26">
      <c r="K26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2" max="2" width="23.5"/>
    <col customWidth="1" min="3" max="3" width="51.63"/>
    <col customWidth="1" min="4" max="4" width="24.5"/>
    <col customWidth="1" min="5" max="5" width="38.38"/>
    <col customWidth="1" min="6" max="6" width="13.25"/>
    <col customWidth="1" min="7" max="7" width="22.13"/>
    <col customWidth="1" min="8" max="8" width="23.5"/>
  </cols>
  <sheetData>
    <row r="1">
      <c r="A1" s="7" t="s">
        <v>131</v>
      </c>
      <c r="B1" s="7" t="s">
        <v>132</v>
      </c>
      <c r="C1" s="7" t="s">
        <v>133</v>
      </c>
      <c r="D1" s="7" t="s">
        <v>3</v>
      </c>
      <c r="E1" s="7" t="s">
        <v>48</v>
      </c>
      <c r="F1" s="7" t="s">
        <v>4</v>
      </c>
    </row>
    <row r="2">
      <c r="A2" s="7" t="s">
        <v>134</v>
      </c>
      <c r="B2" s="7" t="s">
        <v>135</v>
      </c>
      <c r="C2" s="7" t="s">
        <v>136</v>
      </c>
      <c r="D2" s="7" t="s">
        <v>7</v>
      </c>
      <c r="E2" s="7"/>
      <c r="F2" s="8">
        <v>46206.0</v>
      </c>
      <c r="H2" s="2"/>
      <c r="I2" s="2"/>
    </row>
    <row r="3">
      <c r="A3" s="7" t="s">
        <v>137</v>
      </c>
      <c r="B3" s="7" t="s">
        <v>138</v>
      </c>
      <c r="C3" s="7" t="s">
        <v>139</v>
      </c>
      <c r="D3" s="7" t="s">
        <v>7</v>
      </c>
      <c r="E3" s="7"/>
      <c r="F3" s="8">
        <v>46206.0</v>
      </c>
      <c r="H3" s="2"/>
      <c r="I3" s="2"/>
    </row>
    <row r="4">
      <c r="A4" s="7" t="s">
        <v>140</v>
      </c>
      <c r="B4" s="7" t="s">
        <v>141</v>
      </c>
      <c r="C4" s="7" t="s">
        <v>142</v>
      </c>
      <c r="D4" s="7" t="s">
        <v>7</v>
      </c>
      <c r="E4" s="7"/>
      <c r="F4" s="8">
        <v>46206.0</v>
      </c>
      <c r="H4" s="2"/>
      <c r="I4" s="2"/>
    </row>
    <row r="5">
      <c r="A5" s="7" t="s">
        <v>143</v>
      </c>
      <c r="B5" s="7" t="s">
        <v>144</v>
      </c>
      <c r="C5" s="7" t="s">
        <v>145</v>
      </c>
      <c r="D5" s="7" t="s">
        <v>7</v>
      </c>
      <c r="E5" s="7"/>
      <c r="F5" s="8">
        <v>46206.0</v>
      </c>
      <c r="H5" s="2"/>
      <c r="I5" s="2"/>
    </row>
    <row r="6">
      <c r="A6" s="7" t="s">
        <v>146</v>
      </c>
      <c r="B6" s="7" t="s">
        <v>147</v>
      </c>
      <c r="C6" s="7" t="s">
        <v>148</v>
      </c>
      <c r="D6" s="7" t="s">
        <v>7</v>
      </c>
      <c r="E6" s="7"/>
      <c r="F6" s="8">
        <v>46206.0</v>
      </c>
      <c r="H6" s="2"/>
      <c r="I6" s="2"/>
    </row>
    <row r="7">
      <c r="I7" s="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25"/>
    <col customWidth="1" min="6" max="6" width="17.38"/>
    <col customWidth="1" min="7" max="7" width="17.88"/>
    <col customWidth="1" min="15" max="15" width="66.13"/>
  </cols>
  <sheetData>
    <row r="1">
      <c r="A1" s="1" t="s">
        <v>149</v>
      </c>
      <c r="B1" s="1" t="s">
        <v>150</v>
      </c>
      <c r="C1" s="1" t="s">
        <v>151</v>
      </c>
      <c r="D1" s="1" t="s">
        <v>152</v>
      </c>
      <c r="E1" s="1" t="s">
        <v>153</v>
      </c>
      <c r="F1" s="1" t="s">
        <v>154</v>
      </c>
      <c r="G1" s="1" t="s">
        <v>155</v>
      </c>
      <c r="H1" s="1" t="s">
        <v>156</v>
      </c>
      <c r="I1" s="1" t="s">
        <v>1</v>
      </c>
      <c r="J1" s="1" t="s">
        <v>157</v>
      </c>
      <c r="K1" s="1" t="s">
        <v>158</v>
      </c>
      <c r="L1" s="1" t="s">
        <v>159</v>
      </c>
      <c r="M1" s="1" t="s">
        <v>160</v>
      </c>
      <c r="N1" s="1" t="s">
        <v>161</v>
      </c>
      <c r="O1" s="1" t="s">
        <v>162</v>
      </c>
      <c r="P1" s="1" t="s">
        <v>3</v>
      </c>
      <c r="Q1" s="1" t="s">
        <v>48</v>
      </c>
      <c r="R1" s="1" t="s">
        <v>4</v>
      </c>
    </row>
    <row r="2">
      <c r="A2" s="1" t="s">
        <v>163</v>
      </c>
      <c r="B2" s="1" t="s">
        <v>138</v>
      </c>
      <c r="C2" s="1" t="s">
        <v>137</v>
      </c>
      <c r="D2" s="1" t="s">
        <v>164</v>
      </c>
      <c r="E2" s="1" t="s">
        <v>165</v>
      </c>
      <c r="F2" s="1" t="s">
        <v>166</v>
      </c>
      <c r="G2" s="1" t="s">
        <v>167</v>
      </c>
      <c r="H2" s="1" t="s">
        <v>168</v>
      </c>
      <c r="I2" s="1">
        <v>0.5</v>
      </c>
      <c r="J2" s="1" t="s">
        <v>82</v>
      </c>
      <c r="K2" s="1" t="s">
        <v>82</v>
      </c>
      <c r="L2" s="1">
        <v>2.0</v>
      </c>
      <c r="M2" s="1">
        <v>4.0</v>
      </c>
      <c r="N2" s="1">
        <v>3.0</v>
      </c>
      <c r="O2" s="1" t="s">
        <v>169</v>
      </c>
      <c r="P2" s="1" t="s">
        <v>7</v>
      </c>
      <c r="Q2" s="1" t="s">
        <v>170</v>
      </c>
      <c r="R2" s="2">
        <v>46210.0</v>
      </c>
    </row>
    <row r="3">
      <c r="A3" s="1" t="s">
        <v>171</v>
      </c>
      <c r="B3" s="1" t="s">
        <v>135</v>
      </c>
      <c r="C3" s="1" t="s">
        <v>134</v>
      </c>
      <c r="D3" s="1" t="s">
        <v>172</v>
      </c>
      <c r="E3" s="1" t="s">
        <v>173</v>
      </c>
      <c r="F3" s="1" t="s">
        <v>174</v>
      </c>
      <c r="G3" s="1" t="s">
        <v>82</v>
      </c>
      <c r="H3" s="1" t="s">
        <v>175</v>
      </c>
      <c r="I3" s="1">
        <v>0.5</v>
      </c>
      <c r="J3" s="1" t="s">
        <v>82</v>
      </c>
      <c r="K3" s="1" t="s">
        <v>82</v>
      </c>
      <c r="L3" s="1" t="s">
        <v>82</v>
      </c>
      <c r="M3" s="1" t="s">
        <v>82</v>
      </c>
      <c r="N3" s="1">
        <v>1.0</v>
      </c>
      <c r="O3" s="1" t="s">
        <v>176</v>
      </c>
      <c r="P3" s="1" t="s">
        <v>7</v>
      </c>
      <c r="Q3" s="1" t="s">
        <v>177</v>
      </c>
      <c r="R3" s="2">
        <v>46210.0</v>
      </c>
    </row>
    <row r="4">
      <c r="A4" s="1" t="s">
        <v>178</v>
      </c>
      <c r="B4" s="1" t="s">
        <v>141</v>
      </c>
      <c r="C4" s="1" t="s">
        <v>140</v>
      </c>
      <c r="D4" s="1" t="s">
        <v>179</v>
      </c>
      <c r="E4" s="1" t="s">
        <v>180</v>
      </c>
      <c r="F4" s="1" t="s">
        <v>181</v>
      </c>
      <c r="G4" s="1" t="s">
        <v>82</v>
      </c>
      <c r="H4" s="1" t="s">
        <v>175</v>
      </c>
      <c r="I4" s="1">
        <v>0.05</v>
      </c>
      <c r="J4" s="1">
        <v>0.4</v>
      </c>
      <c r="K4" s="1" t="s">
        <v>82</v>
      </c>
      <c r="L4" s="1" t="s">
        <v>82</v>
      </c>
      <c r="M4" s="1" t="s">
        <v>82</v>
      </c>
      <c r="N4" s="1" t="s">
        <v>82</v>
      </c>
      <c r="O4" s="1" t="s">
        <v>182</v>
      </c>
      <c r="P4" s="1" t="s">
        <v>7</v>
      </c>
      <c r="Q4" s="1" t="s">
        <v>183</v>
      </c>
      <c r="R4" s="2">
        <v>46210.0</v>
      </c>
    </row>
    <row r="5">
      <c r="A5" s="1" t="s">
        <v>184</v>
      </c>
      <c r="B5" s="1" t="s">
        <v>144</v>
      </c>
      <c r="C5" s="1" t="s">
        <v>143</v>
      </c>
      <c r="D5" s="1" t="s">
        <v>185</v>
      </c>
      <c r="E5" s="1" t="s">
        <v>186</v>
      </c>
      <c r="F5" s="1" t="s">
        <v>187</v>
      </c>
      <c r="G5" s="1" t="s">
        <v>167</v>
      </c>
      <c r="H5" s="1" t="s">
        <v>175</v>
      </c>
      <c r="I5" s="1">
        <v>0.1</v>
      </c>
      <c r="J5" s="1" t="s">
        <v>82</v>
      </c>
      <c r="K5" s="1">
        <v>0.05</v>
      </c>
      <c r="L5" s="1" t="s">
        <v>82</v>
      </c>
      <c r="M5" s="1">
        <v>3.0</v>
      </c>
      <c r="N5" s="1">
        <v>3.0</v>
      </c>
      <c r="O5" s="1" t="s">
        <v>188</v>
      </c>
      <c r="P5" s="1" t="s">
        <v>7</v>
      </c>
      <c r="Q5" s="1" t="s">
        <v>189</v>
      </c>
      <c r="R5" s="2">
        <v>46210.0</v>
      </c>
    </row>
    <row r="8">
      <c r="A8" s="9" t="s">
        <v>190</v>
      </c>
      <c r="B8" s="10"/>
      <c r="C8" s="10"/>
      <c r="D8" s="10"/>
      <c r="E8" s="10"/>
    </row>
    <row r="9">
      <c r="A9" s="9" t="s">
        <v>153</v>
      </c>
      <c r="B9" s="9" t="s">
        <v>165</v>
      </c>
      <c r="C9" s="9" t="s">
        <v>191</v>
      </c>
      <c r="D9" s="10"/>
      <c r="E9" s="10"/>
    </row>
    <row r="10">
      <c r="A10" s="10"/>
      <c r="B10" s="9" t="s">
        <v>173</v>
      </c>
      <c r="C10" s="9" t="s">
        <v>192</v>
      </c>
      <c r="D10" s="10"/>
      <c r="E10" s="10"/>
    </row>
    <row r="11">
      <c r="A11" s="10"/>
      <c r="B11" s="9" t="s">
        <v>180</v>
      </c>
      <c r="C11" s="9" t="s">
        <v>193</v>
      </c>
      <c r="D11" s="10"/>
      <c r="E11" s="10"/>
    </row>
    <row r="12">
      <c r="A12" s="10"/>
      <c r="B12" s="9" t="s">
        <v>186</v>
      </c>
      <c r="C12" s="9" t="s">
        <v>194</v>
      </c>
      <c r="D12" s="10"/>
      <c r="E12" s="10"/>
    </row>
    <row r="13">
      <c r="A13" s="9" t="s">
        <v>154</v>
      </c>
      <c r="B13" s="9" t="s">
        <v>166</v>
      </c>
      <c r="C13" s="9" t="s">
        <v>195</v>
      </c>
      <c r="D13" s="10"/>
      <c r="E13" s="10"/>
    </row>
    <row r="14">
      <c r="A14" s="10"/>
      <c r="B14" s="9" t="s">
        <v>174</v>
      </c>
      <c r="C14" s="9" t="s">
        <v>196</v>
      </c>
      <c r="D14" s="10"/>
      <c r="E14" s="10"/>
    </row>
    <row r="15">
      <c r="A15" s="10"/>
      <c r="B15" s="9" t="s">
        <v>181</v>
      </c>
      <c r="C15" s="9" t="s">
        <v>197</v>
      </c>
      <c r="D15" s="10"/>
      <c r="E15" s="10"/>
    </row>
    <row r="16">
      <c r="A16" s="10"/>
      <c r="B16" s="9" t="s">
        <v>187</v>
      </c>
      <c r="C16" s="9" t="s">
        <v>198</v>
      </c>
      <c r="D16" s="10"/>
      <c r="E16" s="10"/>
    </row>
    <row r="17">
      <c r="A17" s="9" t="s">
        <v>199</v>
      </c>
      <c r="B17" s="9" t="s">
        <v>1</v>
      </c>
      <c r="C17" s="9" t="s">
        <v>200</v>
      </c>
      <c r="D17" s="10"/>
      <c r="E17" s="10"/>
    </row>
    <row r="18">
      <c r="A18" s="10"/>
      <c r="B18" s="9" t="s">
        <v>157</v>
      </c>
      <c r="C18" s="9" t="s">
        <v>201</v>
      </c>
      <c r="D18" s="10"/>
      <c r="E18" s="10"/>
    </row>
    <row r="19">
      <c r="A19" s="10"/>
      <c r="B19" s="9" t="s">
        <v>158</v>
      </c>
      <c r="C19" s="9" t="s">
        <v>202</v>
      </c>
      <c r="D19" s="10"/>
      <c r="E19" s="10"/>
    </row>
    <row r="20">
      <c r="A20" s="9" t="s">
        <v>203</v>
      </c>
      <c r="B20" s="9" t="s">
        <v>82</v>
      </c>
      <c r="C20" s="9" t="s">
        <v>204</v>
      </c>
      <c r="D20" s="10"/>
      <c r="E20" s="10"/>
    </row>
    <row r="21">
      <c r="A21" s="10"/>
      <c r="B21" s="9" t="s">
        <v>205</v>
      </c>
      <c r="C21" s="9" t="s">
        <v>206</v>
      </c>
      <c r="D21" s="10"/>
      <c r="E21" s="10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207</v>
      </c>
      <c r="B1" s="1" t="s">
        <v>208</v>
      </c>
      <c r="C1" s="1" t="s">
        <v>209</v>
      </c>
      <c r="D1" s="1" t="s">
        <v>210</v>
      </c>
      <c r="E1" s="1" t="s">
        <v>211</v>
      </c>
      <c r="F1" s="1" t="s">
        <v>212</v>
      </c>
      <c r="G1" s="1" t="s">
        <v>213</v>
      </c>
      <c r="H1" s="1" t="s">
        <v>214</v>
      </c>
      <c r="I1" s="1" t="s">
        <v>215</v>
      </c>
      <c r="J1" s="1" t="s">
        <v>216</v>
      </c>
      <c r="K1" s="1" t="s">
        <v>3</v>
      </c>
      <c r="L1" s="1" t="s">
        <v>48</v>
      </c>
      <c r="M1" s="1" t="s">
        <v>4</v>
      </c>
    </row>
    <row r="2">
      <c r="A2" s="1" t="s">
        <v>217</v>
      </c>
      <c r="B2" s="1" t="s">
        <v>218</v>
      </c>
      <c r="C2" s="1" t="s">
        <v>219</v>
      </c>
      <c r="D2" s="1" t="s">
        <v>220</v>
      </c>
      <c r="E2" s="1" t="s">
        <v>221</v>
      </c>
      <c r="F2" s="1" t="s">
        <v>49</v>
      </c>
      <c r="G2" s="1" t="s">
        <v>50</v>
      </c>
      <c r="H2" s="1">
        <v>1.0</v>
      </c>
      <c r="I2" s="1">
        <v>3.0</v>
      </c>
      <c r="J2" s="1">
        <v>40.0</v>
      </c>
      <c r="K2" s="1" t="s">
        <v>7</v>
      </c>
      <c r="L2" s="1" t="s">
        <v>222</v>
      </c>
      <c r="M2" s="2">
        <v>46209.0</v>
      </c>
    </row>
    <row r="3">
      <c r="A3" s="1" t="s">
        <v>223</v>
      </c>
      <c r="B3" s="1" t="s">
        <v>224</v>
      </c>
      <c r="C3" s="1" t="s">
        <v>219</v>
      </c>
      <c r="D3" s="1" t="s">
        <v>220</v>
      </c>
      <c r="E3" s="1" t="s">
        <v>221</v>
      </c>
      <c r="F3" s="1" t="s">
        <v>86</v>
      </c>
      <c r="G3" s="1" t="s">
        <v>87</v>
      </c>
      <c r="H3" s="1">
        <v>2.0</v>
      </c>
      <c r="I3" s="1">
        <v>5.0</v>
      </c>
      <c r="J3" s="1">
        <v>35.0</v>
      </c>
      <c r="K3" s="1" t="s">
        <v>7</v>
      </c>
      <c r="L3" s="1" t="s">
        <v>225</v>
      </c>
      <c r="M3" s="2">
        <v>46209.0</v>
      </c>
    </row>
    <row r="4">
      <c r="A4" s="1" t="s">
        <v>226</v>
      </c>
      <c r="B4" s="1" t="s">
        <v>227</v>
      </c>
      <c r="C4" s="1" t="s">
        <v>219</v>
      </c>
      <c r="D4" s="1" t="s">
        <v>220</v>
      </c>
      <c r="E4" s="1" t="s">
        <v>221</v>
      </c>
      <c r="F4" s="1" t="s">
        <v>102</v>
      </c>
      <c r="G4" s="1" t="s">
        <v>103</v>
      </c>
      <c r="H4" s="1">
        <v>-4.0</v>
      </c>
      <c r="I4" s="1">
        <v>-1.0</v>
      </c>
      <c r="J4" s="1">
        <v>25.0</v>
      </c>
      <c r="K4" s="1" t="s">
        <v>7</v>
      </c>
      <c r="L4" s="1" t="s">
        <v>228</v>
      </c>
      <c r="M4" s="2">
        <v>46209.0</v>
      </c>
    </row>
    <row r="5">
      <c r="A5" s="1" t="s">
        <v>229</v>
      </c>
      <c r="B5" s="1" t="s">
        <v>230</v>
      </c>
      <c r="C5" s="1" t="s">
        <v>219</v>
      </c>
      <c r="D5" s="1" t="s">
        <v>220</v>
      </c>
      <c r="E5" s="1" t="s">
        <v>231</v>
      </c>
      <c r="F5" s="1" t="s">
        <v>79</v>
      </c>
      <c r="G5" s="1" t="s">
        <v>80</v>
      </c>
      <c r="H5" s="1">
        <v>1.0</v>
      </c>
      <c r="I5" s="1">
        <v>3.0</v>
      </c>
      <c r="J5" s="1">
        <v>45.0</v>
      </c>
      <c r="K5" s="1" t="s">
        <v>7</v>
      </c>
      <c r="L5" s="1" t="s">
        <v>225</v>
      </c>
      <c r="M5" s="2">
        <v>46209.0</v>
      </c>
    </row>
    <row r="6">
      <c r="A6" s="1" t="s">
        <v>232</v>
      </c>
      <c r="B6" s="1" t="s">
        <v>233</v>
      </c>
      <c r="C6" s="1" t="s">
        <v>219</v>
      </c>
      <c r="D6" s="1" t="s">
        <v>220</v>
      </c>
      <c r="E6" s="1" t="s">
        <v>231</v>
      </c>
      <c r="F6" s="1" t="s">
        <v>121</v>
      </c>
      <c r="G6" s="1" t="s">
        <v>122</v>
      </c>
      <c r="H6" s="1">
        <v>1.0</v>
      </c>
      <c r="I6" s="1">
        <v>4.0</v>
      </c>
      <c r="J6" s="1">
        <v>30.0</v>
      </c>
      <c r="K6" s="1" t="s">
        <v>7</v>
      </c>
      <c r="L6" s="1" t="s">
        <v>225</v>
      </c>
      <c r="M6" s="2">
        <v>46209.0</v>
      </c>
    </row>
    <row r="7">
      <c r="A7" s="1" t="s">
        <v>234</v>
      </c>
      <c r="B7" s="1" t="s">
        <v>235</v>
      </c>
      <c r="C7" s="1" t="s">
        <v>236</v>
      </c>
      <c r="D7" s="1" t="s">
        <v>220</v>
      </c>
      <c r="E7" s="1" t="s">
        <v>221</v>
      </c>
      <c r="F7" s="1" t="s">
        <v>60</v>
      </c>
      <c r="G7" s="1" t="s">
        <v>61</v>
      </c>
      <c r="H7" s="1">
        <v>1.0</v>
      </c>
      <c r="I7" s="1">
        <v>3.0</v>
      </c>
      <c r="J7" s="1">
        <v>40.0</v>
      </c>
      <c r="K7" s="1" t="s">
        <v>7</v>
      </c>
      <c r="L7" s="1" t="s">
        <v>222</v>
      </c>
      <c r="M7" s="2">
        <v>46209.0</v>
      </c>
    </row>
    <row r="8">
      <c r="A8" s="1" t="s">
        <v>237</v>
      </c>
      <c r="B8" s="1" t="s">
        <v>238</v>
      </c>
      <c r="C8" s="1" t="s">
        <v>236</v>
      </c>
      <c r="D8" s="1" t="s">
        <v>220</v>
      </c>
      <c r="E8" s="1" t="s">
        <v>221</v>
      </c>
      <c r="F8" s="1" t="s">
        <v>90</v>
      </c>
      <c r="G8" s="1" t="s">
        <v>91</v>
      </c>
      <c r="H8" s="1">
        <v>1.0</v>
      </c>
      <c r="I8" s="1">
        <v>3.0</v>
      </c>
      <c r="J8" s="1">
        <v>35.0</v>
      </c>
      <c r="K8" s="1" t="s">
        <v>7</v>
      </c>
      <c r="L8" s="1" t="s">
        <v>225</v>
      </c>
      <c r="M8" s="2">
        <v>46209.0</v>
      </c>
    </row>
    <row r="9">
      <c r="A9" s="1" t="s">
        <v>239</v>
      </c>
      <c r="B9" s="1" t="s">
        <v>240</v>
      </c>
      <c r="C9" s="1" t="s">
        <v>236</v>
      </c>
      <c r="D9" s="1" t="s">
        <v>220</v>
      </c>
      <c r="E9" s="1" t="s">
        <v>221</v>
      </c>
      <c r="F9" s="1" t="s">
        <v>106</v>
      </c>
      <c r="G9" s="1" t="s">
        <v>107</v>
      </c>
      <c r="H9" s="1">
        <v>-3.0</v>
      </c>
      <c r="I9" s="1">
        <v>-1.0</v>
      </c>
      <c r="J9" s="1">
        <v>25.0</v>
      </c>
      <c r="K9" s="1" t="s">
        <v>7</v>
      </c>
      <c r="L9" s="1" t="s">
        <v>241</v>
      </c>
      <c r="M9" s="2">
        <v>46209.0</v>
      </c>
    </row>
    <row r="10">
      <c r="A10" s="1" t="s">
        <v>242</v>
      </c>
      <c r="B10" s="1" t="s">
        <v>243</v>
      </c>
      <c r="C10" s="1" t="s">
        <v>236</v>
      </c>
      <c r="D10" s="1" t="s">
        <v>220</v>
      </c>
      <c r="E10" s="1" t="s">
        <v>231</v>
      </c>
      <c r="F10" s="1" t="s">
        <v>55</v>
      </c>
      <c r="G10" s="1" t="s">
        <v>56</v>
      </c>
      <c r="H10" s="1">
        <v>1.0</v>
      </c>
      <c r="I10" s="1">
        <v>3.0</v>
      </c>
      <c r="J10" s="1">
        <v>40.0</v>
      </c>
      <c r="K10" s="1" t="s">
        <v>7</v>
      </c>
      <c r="L10" s="1" t="s">
        <v>222</v>
      </c>
      <c r="M10" s="2">
        <v>46209.0</v>
      </c>
    </row>
    <row r="11">
      <c r="A11" s="1" t="s">
        <v>244</v>
      </c>
      <c r="B11" s="1" t="s">
        <v>245</v>
      </c>
      <c r="C11" s="1" t="s">
        <v>236</v>
      </c>
      <c r="D11" s="1" t="s">
        <v>220</v>
      </c>
      <c r="E11" s="1" t="s">
        <v>231</v>
      </c>
      <c r="F11" s="1" t="s">
        <v>121</v>
      </c>
      <c r="G11" s="1" t="s">
        <v>122</v>
      </c>
      <c r="H11" s="1">
        <v>2.0</v>
      </c>
      <c r="I11" s="1">
        <v>5.0</v>
      </c>
      <c r="J11" s="1">
        <v>30.0</v>
      </c>
      <c r="K11" s="1" t="s">
        <v>7</v>
      </c>
      <c r="L11" s="1" t="s">
        <v>225</v>
      </c>
      <c r="M11" s="2">
        <v>46209.0</v>
      </c>
    </row>
    <row r="12">
      <c r="A12" s="1" t="s">
        <v>246</v>
      </c>
      <c r="B12" s="1" t="s">
        <v>247</v>
      </c>
      <c r="C12" s="1" t="s">
        <v>219</v>
      </c>
      <c r="D12" s="1" t="s">
        <v>248</v>
      </c>
      <c r="E12" s="1" t="s">
        <v>249</v>
      </c>
      <c r="F12" s="1" t="s">
        <v>90</v>
      </c>
      <c r="G12" s="1" t="s">
        <v>91</v>
      </c>
      <c r="H12" s="1">
        <v>1.0</v>
      </c>
      <c r="I12" s="1">
        <v>3.0</v>
      </c>
      <c r="J12" s="1">
        <v>40.0</v>
      </c>
      <c r="K12" s="1" t="s">
        <v>7</v>
      </c>
      <c r="L12" s="1" t="s">
        <v>250</v>
      </c>
      <c r="M12" s="2">
        <v>46209.0</v>
      </c>
    </row>
    <row r="13">
      <c r="A13" s="1" t="s">
        <v>251</v>
      </c>
      <c r="B13" s="1" t="s">
        <v>252</v>
      </c>
      <c r="C13" s="1" t="s">
        <v>219</v>
      </c>
      <c r="D13" s="1" t="s">
        <v>248</v>
      </c>
      <c r="E13" s="1" t="s">
        <v>253</v>
      </c>
      <c r="F13" s="1" t="s">
        <v>106</v>
      </c>
      <c r="G13" s="1" t="s">
        <v>107</v>
      </c>
      <c r="H13" s="1">
        <v>1.0</v>
      </c>
      <c r="I13" s="1">
        <v>3.0</v>
      </c>
      <c r="J13" s="1">
        <v>35.0</v>
      </c>
      <c r="K13" s="1" t="s">
        <v>7</v>
      </c>
      <c r="L13" s="1" t="s">
        <v>250</v>
      </c>
      <c r="M13" s="2">
        <v>46209.0</v>
      </c>
    </row>
    <row r="14">
      <c r="A14" s="1" t="s">
        <v>254</v>
      </c>
      <c r="B14" s="1" t="s">
        <v>255</v>
      </c>
      <c r="C14" s="1" t="s">
        <v>219</v>
      </c>
      <c r="D14" s="1" t="s">
        <v>248</v>
      </c>
      <c r="E14" s="1" t="s">
        <v>256</v>
      </c>
      <c r="F14" s="1" t="s">
        <v>102</v>
      </c>
      <c r="G14" s="1" t="s">
        <v>103</v>
      </c>
      <c r="H14" s="1">
        <v>-3.0</v>
      </c>
      <c r="I14" s="1">
        <v>-1.0</v>
      </c>
      <c r="J14" s="1">
        <v>25.0</v>
      </c>
      <c r="K14" s="1" t="s">
        <v>7</v>
      </c>
      <c r="L14" s="1" t="s">
        <v>250</v>
      </c>
      <c r="M14" s="2">
        <v>46209.0</v>
      </c>
    </row>
    <row r="15">
      <c r="A15" s="1" t="s">
        <v>257</v>
      </c>
      <c r="B15" s="1" t="s">
        <v>258</v>
      </c>
      <c r="C15" s="1" t="s">
        <v>219</v>
      </c>
      <c r="D15" s="1" t="s">
        <v>248</v>
      </c>
      <c r="E15" s="1" t="s">
        <v>249</v>
      </c>
      <c r="F15" s="1" t="s">
        <v>90</v>
      </c>
      <c r="G15" s="1" t="s">
        <v>91</v>
      </c>
      <c r="H15" s="1">
        <v>2.0</v>
      </c>
      <c r="I15" s="1">
        <v>5.0</v>
      </c>
      <c r="J15" s="1">
        <v>40.0</v>
      </c>
      <c r="K15" s="1" t="s">
        <v>7</v>
      </c>
      <c r="L15" s="1" t="s">
        <v>250</v>
      </c>
      <c r="M15" s="2">
        <v>46209.0</v>
      </c>
    </row>
    <row r="16">
      <c r="A16" s="1" t="s">
        <v>259</v>
      </c>
      <c r="B16" s="1" t="s">
        <v>260</v>
      </c>
      <c r="C16" s="1" t="s">
        <v>219</v>
      </c>
      <c r="D16" s="1" t="s">
        <v>248</v>
      </c>
      <c r="E16" s="1" t="s">
        <v>261</v>
      </c>
      <c r="F16" s="1" t="s">
        <v>60</v>
      </c>
      <c r="G16" s="1" t="s">
        <v>61</v>
      </c>
      <c r="H16" s="1">
        <v>1.0</v>
      </c>
      <c r="I16" s="1">
        <v>3.0</v>
      </c>
      <c r="J16" s="1">
        <v>35.0</v>
      </c>
      <c r="K16" s="1" t="s">
        <v>7</v>
      </c>
      <c r="L16" s="1" t="s">
        <v>250</v>
      </c>
      <c r="M16" s="2">
        <v>46209.0</v>
      </c>
    </row>
    <row r="17">
      <c r="A17" s="1" t="s">
        <v>262</v>
      </c>
      <c r="B17" s="1" t="s">
        <v>263</v>
      </c>
      <c r="C17" s="1" t="s">
        <v>219</v>
      </c>
      <c r="D17" s="1" t="s">
        <v>248</v>
      </c>
      <c r="E17" s="1" t="s">
        <v>256</v>
      </c>
      <c r="F17" s="1" t="s">
        <v>102</v>
      </c>
      <c r="G17" s="1" t="s">
        <v>103</v>
      </c>
      <c r="H17" s="1">
        <v>-4.0</v>
      </c>
      <c r="I17" s="1">
        <v>-1.0</v>
      </c>
      <c r="J17" s="1">
        <v>25.0</v>
      </c>
      <c r="K17" s="1" t="s">
        <v>7</v>
      </c>
      <c r="L17" s="1" t="s">
        <v>250</v>
      </c>
      <c r="M17" s="2">
        <v>46209.0</v>
      </c>
    </row>
    <row r="18">
      <c r="A18" s="1" t="s">
        <v>264</v>
      </c>
      <c r="B18" s="1" t="s">
        <v>265</v>
      </c>
      <c r="C18" s="1" t="s">
        <v>236</v>
      </c>
      <c r="D18" s="1" t="s">
        <v>248</v>
      </c>
      <c r="E18" s="1" t="s">
        <v>261</v>
      </c>
      <c r="F18" s="1" t="s">
        <v>116</v>
      </c>
      <c r="G18" s="1" t="s">
        <v>117</v>
      </c>
      <c r="H18" s="1">
        <v>1.0</v>
      </c>
      <c r="I18" s="1">
        <v>3.0</v>
      </c>
      <c r="J18" s="1">
        <v>45.0</v>
      </c>
      <c r="K18" s="1" t="s">
        <v>7</v>
      </c>
      <c r="L18" s="1" t="s">
        <v>250</v>
      </c>
      <c r="M18" s="2">
        <v>46209.0</v>
      </c>
    </row>
    <row r="19">
      <c r="A19" s="1" t="s">
        <v>266</v>
      </c>
      <c r="B19" s="1" t="s">
        <v>267</v>
      </c>
      <c r="C19" s="1" t="s">
        <v>236</v>
      </c>
      <c r="D19" s="1" t="s">
        <v>248</v>
      </c>
      <c r="E19" s="1" t="s">
        <v>253</v>
      </c>
      <c r="F19" s="1" t="s">
        <v>121</v>
      </c>
      <c r="G19" s="1" t="s">
        <v>122</v>
      </c>
      <c r="H19" s="1">
        <v>1.0</v>
      </c>
      <c r="I19" s="1">
        <v>3.0</v>
      </c>
      <c r="J19" s="1">
        <v>30.0</v>
      </c>
      <c r="K19" s="1" t="s">
        <v>7</v>
      </c>
      <c r="L19" s="1" t="s">
        <v>250</v>
      </c>
      <c r="M19" s="2">
        <v>46209.0</v>
      </c>
    </row>
    <row r="20">
      <c r="A20" s="1" t="s">
        <v>268</v>
      </c>
      <c r="B20" s="1" t="s">
        <v>269</v>
      </c>
      <c r="C20" s="1" t="s">
        <v>236</v>
      </c>
      <c r="D20" s="1" t="s">
        <v>248</v>
      </c>
      <c r="E20" s="1" t="s">
        <v>249</v>
      </c>
      <c r="F20" s="1" t="s">
        <v>60</v>
      </c>
      <c r="G20" s="1" t="s">
        <v>61</v>
      </c>
      <c r="H20" s="1">
        <v>1.0</v>
      </c>
      <c r="I20" s="1">
        <v>3.0</v>
      </c>
      <c r="J20" s="1">
        <v>40.0</v>
      </c>
      <c r="K20" s="1" t="s">
        <v>7</v>
      </c>
      <c r="L20" s="1" t="s">
        <v>250</v>
      </c>
      <c r="M20" s="2">
        <v>46209.0</v>
      </c>
    </row>
    <row r="21">
      <c r="A21" s="1" t="s">
        <v>270</v>
      </c>
      <c r="B21" s="1" t="s">
        <v>271</v>
      </c>
      <c r="C21" s="1" t="s">
        <v>236</v>
      </c>
      <c r="D21" s="1" t="s">
        <v>248</v>
      </c>
      <c r="E21" s="1" t="s">
        <v>261</v>
      </c>
      <c r="F21" s="1" t="s">
        <v>116</v>
      </c>
      <c r="G21" s="1" t="s">
        <v>117</v>
      </c>
      <c r="H21" s="1">
        <v>2.0</v>
      </c>
      <c r="I21" s="1">
        <v>4.0</v>
      </c>
      <c r="J21" s="1">
        <v>35.0</v>
      </c>
      <c r="K21" s="1" t="s">
        <v>7</v>
      </c>
      <c r="L21" s="1" t="s">
        <v>250</v>
      </c>
      <c r="M21" s="2">
        <v>46209.0</v>
      </c>
    </row>
    <row r="22">
      <c r="A22" s="1" t="s">
        <v>272</v>
      </c>
      <c r="B22" s="1" t="s">
        <v>273</v>
      </c>
      <c r="C22" s="1" t="s">
        <v>236</v>
      </c>
      <c r="D22" s="1" t="s">
        <v>248</v>
      </c>
      <c r="E22" s="1" t="s">
        <v>249</v>
      </c>
      <c r="F22" s="1" t="s">
        <v>110</v>
      </c>
      <c r="G22" s="1" t="s">
        <v>111</v>
      </c>
      <c r="H22" s="1">
        <v>3.0</v>
      </c>
      <c r="I22" s="1">
        <v>8.0</v>
      </c>
      <c r="J22" s="1">
        <v>25.0</v>
      </c>
      <c r="K22" s="1" t="s">
        <v>7</v>
      </c>
      <c r="L22" s="1" t="s">
        <v>250</v>
      </c>
      <c r="M22" s="2">
        <v>46209.0</v>
      </c>
    </row>
    <row r="23">
      <c r="C23" s="1" t="s">
        <v>236</v>
      </c>
      <c r="D23" s="1" t="s">
        <v>248</v>
      </c>
      <c r="E23" s="1" t="s">
        <v>256</v>
      </c>
      <c r="L23" s="1" t="s">
        <v>250</v>
      </c>
      <c r="M23" s="2"/>
    </row>
    <row r="24">
      <c r="C24" s="1" t="s">
        <v>236</v>
      </c>
      <c r="D24" s="1" t="s">
        <v>248</v>
      </c>
      <c r="E24" s="1" t="s">
        <v>253</v>
      </c>
      <c r="L24" s="1" t="s">
        <v>250</v>
      </c>
      <c r="M24" s="2"/>
    </row>
    <row r="25">
      <c r="C25" s="1" t="s">
        <v>236</v>
      </c>
      <c r="D25" s="1" t="s">
        <v>248</v>
      </c>
      <c r="E25" s="1" t="s">
        <v>261</v>
      </c>
      <c r="L25" s="1" t="s">
        <v>250</v>
      </c>
      <c r="M25" s="2"/>
    </row>
    <row r="26">
      <c r="C26" s="1" t="s">
        <v>236</v>
      </c>
      <c r="D26" s="1" t="s">
        <v>248</v>
      </c>
      <c r="E26" s="1" t="s">
        <v>253</v>
      </c>
      <c r="L26" s="1" t="s">
        <v>250</v>
      </c>
      <c r="M26" s="2"/>
    </row>
    <row r="27">
      <c r="C27" s="1" t="s">
        <v>236</v>
      </c>
      <c r="D27" s="1" t="s">
        <v>248</v>
      </c>
      <c r="E27" s="1" t="s">
        <v>249</v>
      </c>
      <c r="L27" s="1" t="s">
        <v>250</v>
      </c>
      <c r="M27" s="2"/>
    </row>
    <row r="28">
      <c r="C28" s="1" t="s">
        <v>236</v>
      </c>
      <c r="D28" s="1" t="s">
        <v>248</v>
      </c>
      <c r="E28" s="1" t="s">
        <v>253</v>
      </c>
      <c r="L28" s="1" t="s">
        <v>250</v>
      </c>
      <c r="M28" s="2"/>
    </row>
    <row r="29">
      <c r="C29" s="1" t="s">
        <v>236</v>
      </c>
      <c r="D29" s="1" t="s">
        <v>248</v>
      </c>
      <c r="E29" s="1" t="s">
        <v>249</v>
      </c>
      <c r="L29" s="1" t="s">
        <v>250</v>
      </c>
      <c r="M29" s="2"/>
    </row>
    <row r="30">
      <c r="M30" s="2"/>
    </row>
  </sheetData>
  <dataValidations>
    <dataValidation type="list" allowBlank="1" showErrorMessage="1" sqref="E2:E29">
      <formula1>"wea1,wea2,arm1,arm3,arm2,arm4"</formula1>
    </dataValidation>
    <dataValidation type="list" allowBlank="1" showErrorMessage="1" sqref="D2:D29">
      <formula1>"weapon,armor"</formula1>
    </dataValidation>
    <dataValidation type="list" allowBlank="1" showErrorMessage="1" sqref="L2:L29">
      <formula1>"1차 증가,2차 증가,2차 감소(트레이드오프),2차 감소,예시 그룹 배치"</formula1>
    </dataValidation>
    <dataValidation type="list" allowBlank="1" showErrorMessage="1" sqref="C2:C29">
      <formula1>"prefix,suffix"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38"/>
    <col customWidth="1" min="2" max="2" width="22.38"/>
    <col customWidth="1" min="3" max="3" width="19.13"/>
    <col customWidth="1" min="4" max="4" width="21.25"/>
    <col customWidth="1" min="14" max="14" width="12.25"/>
    <col customWidth="1" min="20" max="20" width="23.13"/>
  </cols>
  <sheetData>
    <row r="1">
      <c r="A1" s="3" t="s">
        <v>274</v>
      </c>
      <c r="B1" s="3" t="s">
        <v>275</v>
      </c>
      <c r="C1" s="3" t="s">
        <v>276</v>
      </c>
      <c r="D1" s="3" t="s">
        <v>210</v>
      </c>
      <c r="E1" s="3" t="s">
        <v>277</v>
      </c>
      <c r="F1" s="3" t="s">
        <v>278</v>
      </c>
      <c r="G1" s="1" t="s">
        <v>279</v>
      </c>
      <c r="H1" s="1" t="s">
        <v>280</v>
      </c>
      <c r="I1" s="1" t="s">
        <v>281</v>
      </c>
      <c r="J1" s="1" t="s">
        <v>282</v>
      </c>
      <c r="K1" s="1" t="s">
        <v>283</v>
      </c>
      <c r="L1" s="1" t="s">
        <v>284</v>
      </c>
      <c r="M1" s="1" t="s">
        <v>285</v>
      </c>
      <c r="N1" s="1" t="s">
        <v>286</v>
      </c>
      <c r="O1" s="1" t="s">
        <v>287</v>
      </c>
      <c r="P1" s="1" t="s">
        <v>288</v>
      </c>
      <c r="Q1" s="1" t="s">
        <v>289</v>
      </c>
      <c r="R1" s="1" t="s">
        <v>290</v>
      </c>
      <c r="S1" s="1" t="s">
        <v>291</v>
      </c>
      <c r="T1" s="1" t="s">
        <v>3</v>
      </c>
      <c r="U1" s="1" t="s">
        <v>48</v>
      </c>
      <c r="V1" s="1" t="s">
        <v>4</v>
      </c>
    </row>
    <row r="2">
      <c r="A2" s="3" t="s">
        <v>292</v>
      </c>
      <c r="B2" s="3" t="s">
        <v>293</v>
      </c>
      <c r="C2" s="3" t="s">
        <v>294</v>
      </c>
      <c r="D2" s="3" t="s">
        <v>295</v>
      </c>
      <c r="E2" s="4">
        <v>1.0</v>
      </c>
      <c r="F2" s="3" t="s">
        <v>55</v>
      </c>
      <c r="G2" s="1" t="s">
        <v>56</v>
      </c>
      <c r="H2" s="1">
        <v>1.0</v>
      </c>
      <c r="I2" s="1">
        <v>2.0</v>
      </c>
      <c r="J2" s="1" t="s">
        <v>82</v>
      </c>
      <c r="K2" s="1" t="s">
        <v>82</v>
      </c>
      <c r="L2" s="1" t="s">
        <v>82</v>
      </c>
      <c r="M2" s="1" t="s">
        <v>82</v>
      </c>
      <c r="N2" s="1">
        <v>0.0</v>
      </c>
      <c r="O2" s="1">
        <v>1.0</v>
      </c>
      <c r="P2" s="1">
        <v>0.0</v>
      </c>
      <c r="Q2" s="1">
        <v>0.0</v>
      </c>
      <c r="R2" s="1">
        <v>45.0</v>
      </c>
      <c r="S2" s="1">
        <v>9.0</v>
      </c>
      <c r="T2" s="1" t="s">
        <v>7</v>
      </c>
      <c r="U2" s="1" t="s">
        <v>296</v>
      </c>
      <c r="V2" s="2">
        <v>46211.0</v>
      </c>
    </row>
    <row r="3">
      <c r="A3" s="3" t="s">
        <v>297</v>
      </c>
      <c r="B3" s="3" t="s">
        <v>298</v>
      </c>
      <c r="C3" s="3" t="s">
        <v>299</v>
      </c>
      <c r="D3" s="3" t="s">
        <v>295</v>
      </c>
      <c r="E3" s="4">
        <v>1.0</v>
      </c>
      <c r="F3" s="3" t="s">
        <v>49</v>
      </c>
      <c r="G3" s="1" t="s">
        <v>50</v>
      </c>
      <c r="H3" s="1">
        <v>1.0</v>
      </c>
      <c r="I3" s="1">
        <v>2.0</v>
      </c>
      <c r="J3" s="1" t="s">
        <v>82</v>
      </c>
      <c r="K3" s="1" t="s">
        <v>82</v>
      </c>
      <c r="L3" s="1" t="s">
        <v>82</v>
      </c>
      <c r="M3" s="1" t="s">
        <v>82</v>
      </c>
      <c r="N3" s="1">
        <v>1.0</v>
      </c>
      <c r="O3" s="1">
        <v>0.0</v>
      </c>
      <c r="P3" s="1">
        <v>0.0</v>
      </c>
      <c r="Q3" s="1">
        <v>0.0</v>
      </c>
      <c r="R3" s="1">
        <v>45.0</v>
      </c>
      <c r="S3" s="1">
        <v>9.0</v>
      </c>
      <c r="T3" s="1" t="s">
        <v>7</v>
      </c>
      <c r="U3" s="1" t="s">
        <v>296</v>
      </c>
      <c r="V3" s="2">
        <v>46211.0</v>
      </c>
    </row>
    <row r="4">
      <c r="A4" s="3" t="s">
        <v>300</v>
      </c>
      <c r="B4" s="3" t="s">
        <v>301</v>
      </c>
      <c r="C4" s="3" t="s">
        <v>302</v>
      </c>
      <c r="D4" s="3" t="s">
        <v>295</v>
      </c>
      <c r="E4" s="4">
        <v>1.0</v>
      </c>
      <c r="F4" s="3" t="s">
        <v>65</v>
      </c>
      <c r="G4" s="1" t="s">
        <v>66</v>
      </c>
      <c r="H4" s="1">
        <v>1.0</v>
      </c>
      <c r="I4" s="1">
        <v>2.0</v>
      </c>
      <c r="J4" s="1" t="s">
        <v>82</v>
      </c>
      <c r="K4" s="1" t="s">
        <v>82</v>
      </c>
      <c r="L4" s="1" t="s">
        <v>82</v>
      </c>
      <c r="M4" s="1" t="s">
        <v>82</v>
      </c>
      <c r="N4" s="1">
        <v>0.0</v>
      </c>
      <c r="O4" s="1">
        <v>0.0</v>
      </c>
      <c r="P4" s="1">
        <v>0.0</v>
      </c>
      <c r="Q4" s="1">
        <v>1.0</v>
      </c>
      <c r="R4" s="1">
        <v>45.0</v>
      </c>
      <c r="S4" s="1">
        <v>9.0</v>
      </c>
      <c r="T4" s="1" t="s">
        <v>7</v>
      </c>
      <c r="U4" s="1" t="s">
        <v>296</v>
      </c>
      <c r="V4" s="2">
        <v>46211.0</v>
      </c>
    </row>
    <row r="5">
      <c r="A5" s="3" t="s">
        <v>303</v>
      </c>
      <c r="B5" s="3" t="s">
        <v>304</v>
      </c>
      <c r="C5" s="3" t="s">
        <v>305</v>
      </c>
      <c r="D5" s="3" t="s">
        <v>295</v>
      </c>
      <c r="E5" s="4">
        <v>1.0</v>
      </c>
      <c r="F5" s="3" t="s">
        <v>55</v>
      </c>
      <c r="G5" s="1" t="s">
        <v>56</v>
      </c>
      <c r="H5" s="1">
        <v>1.0</v>
      </c>
      <c r="I5" s="1">
        <v>2.0</v>
      </c>
      <c r="J5" s="1" t="s">
        <v>82</v>
      </c>
      <c r="K5" s="1" t="s">
        <v>82</v>
      </c>
      <c r="L5" s="1" t="s">
        <v>82</v>
      </c>
      <c r="M5" s="1" t="s">
        <v>82</v>
      </c>
      <c r="N5" s="1">
        <v>0.0</v>
      </c>
      <c r="O5" s="1">
        <v>1.0</v>
      </c>
      <c r="P5" s="1">
        <v>0.0</v>
      </c>
      <c r="Q5" s="1">
        <v>0.0</v>
      </c>
      <c r="R5" s="1">
        <v>45.0</v>
      </c>
      <c r="S5" s="1">
        <v>9.0</v>
      </c>
      <c r="T5" s="1" t="s">
        <v>7</v>
      </c>
      <c r="U5" s="1" t="s">
        <v>296</v>
      </c>
      <c r="V5" s="2">
        <v>46211.0</v>
      </c>
    </row>
    <row r="6">
      <c r="A6" s="3" t="s">
        <v>306</v>
      </c>
      <c r="B6" s="3" t="s">
        <v>307</v>
      </c>
      <c r="C6" s="3" t="s">
        <v>308</v>
      </c>
      <c r="D6" s="3" t="s">
        <v>295</v>
      </c>
      <c r="E6" s="4">
        <v>1.0</v>
      </c>
      <c r="F6" s="3" t="s">
        <v>60</v>
      </c>
      <c r="G6" s="1" t="s">
        <v>61</v>
      </c>
      <c r="H6" s="1">
        <v>4.0</v>
      </c>
      <c r="I6" s="1">
        <v>6.0</v>
      </c>
      <c r="J6" s="1" t="s">
        <v>55</v>
      </c>
      <c r="K6" s="1" t="s">
        <v>56</v>
      </c>
      <c r="L6" s="1">
        <v>-5.0</v>
      </c>
      <c r="M6" s="1">
        <v>-3.0</v>
      </c>
      <c r="N6" s="1">
        <v>0.0</v>
      </c>
      <c r="O6" s="1">
        <v>0.0</v>
      </c>
      <c r="P6" s="1">
        <v>1.0</v>
      </c>
      <c r="Q6" s="1">
        <v>0.0</v>
      </c>
      <c r="R6" s="1">
        <v>50.0</v>
      </c>
      <c r="S6" s="1">
        <v>5.0</v>
      </c>
      <c r="T6" s="1" t="s">
        <v>7</v>
      </c>
      <c r="U6" s="1" t="s">
        <v>309</v>
      </c>
      <c r="V6" s="2">
        <v>46211.0</v>
      </c>
    </row>
    <row r="7">
      <c r="A7" s="3" t="s">
        <v>310</v>
      </c>
      <c r="B7" s="3" t="s">
        <v>311</v>
      </c>
      <c r="C7" s="3" t="s">
        <v>312</v>
      </c>
      <c r="D7" s="3" t="s">
        <v>313</v>
      </c>
      <c r="E7" s="4">
        <v>2.0</v>
      </c>
      <c r="F7" s="3" t="s">
        <v>106</v>
      </c>
      <c r="G7" s="1" t="s">
        <v>107</v>
      </c>
      <c r="H7" s="1">
        <v>1.0</v>
      </c>
      <c r="I7" s="1">
        <v>3.0</v>
      </c>
      <c r="J7" s="1" t="s">
        <v>82</v>
      </c>
      <c r="K7" s="1" t="s">
        <v>82</v>
      </c>
      <c r="L7" s="1" t="s">
        <v>82</v>
      </c>
      <c r="M7" s="1" t="s">
        <v>82</v>
      </c>
      <c r="N7" s="1">
        <v>0.0</v>
      </c>
      <c r="O7" s="1">
        <v>1.0</v>
      </c>
      <c r="P7" s="1">
        <v>0.0</v>
      </c>
      <c r="Q7" s="1">
        <v>0.0</v>
      </c>
      <c r="R7" s="1">
        <v>40.0</v>
      </c>
      <c r="S7" s="1">
        <v>10.0</v>
      </c>
      <c r="T7" s="1" t="s">
        <v>7</v>
      </c>
      <c r="U7" s="1" t="s">
        <v>314</v>
      </c>
      <c r="V7" s="2">
        <v>46211.0</v>
      </c>
    </row>
    <row r="8">
      <c r="A8" s="3" t="s">
        <v>315</v>
      </c>
      <c r="B8" s="3" t="s">
        <v>316</v>
      </c>
      <c r="C8" s="3" t="s">
        <v>317</v>
      </c>
      <c r="D8" s="3" t="s">
        <v>313</v>
      </c>
      <c r="E8" s="4">
        <v>2.0</v>
      </c>
      <c r="F8" s="3" t="s">
        <v>121</v>
      </c>
      <c r="G8" s="1" t="s">
        <v>122</v>
      </c>
      <c r="H8" s="1">
        <v>1.0</v>
      </c>
      <c r="I8" s="1">
        <v>3.0</v>
      </c>
      <c r="J8" s="1" t="s">
        <v>82</v>
      </c>
      <c r="K8" s="1" t="s">
        <v>82</v>
      </c>
      <c r="L8" s="1" t="s">
        <v>82</v>
      </c>
      <c r="M8" s="1" t="s">
        <v>82</v>
      </c>
      <c r="N8" s="1">
        <v>0.0</v>
      </c>
      <c r="O8" s="1">
        <v>0.0</v>
      </c>
      <c r="P8" s="1">
        <v>0.0</v>
      </c>
      <c r="Q8" s="1">
        <v>1.0</v>
      </c>
      <c r="R8" s="1">
        <v>40.0</v>
      </c>
      <c r="S8" s="1">
        <v>10.0</v>
      </c>
      <c r="T8" s="1" t="s">
        <v>7</v>
      </c>
      <c r="U8" s="1" t="s">
        <v>314</v>
      </c>
      <c r="V8" s="2">
        <v>46211.0</v>
      </c>
    </row>
    <row r="9">
      <c r="A9" s="3" t="s">
        <v>318</v>
      </c>
      <c r="B9" s="3" t="s">
        <v>319</v>
      </c>
      <c r="C9" s="3" t="s">
        <v>320</v>
      </c>
      <c r="D9" s="3" t="s">
        <v>313</v>
      </c>
      <c r="E9" s="4">
        <v>2.0</v>
      </c>
      <c r="F9" s="3" t="s">
        <v>102</v>
      </c>
      <c r="G9" s="1" t="s">
        <v>103</v>
      </c>
      <c r="H9" s="1">
        <v>1.0</v>
      </c>
      <c r="I9" s="1">
        <v>3.0</v>
      </c>
      <c r="J9" s="1" t="s">
        <v>82</v>
      </c>
      <c r="K9" s="1" t="s">
        <v>82</v>
      </c>
      <c r="L9" s="1" t="s">
        <v>82</v>
      </c>
      <c r="M9" s="1" t="s">
        <v>82</v>
      </c>
      <c r="N9" s="1">
        <v>0.0</v>
      </c>
      <c r="O9" s="1">
        <v>1.0</v>
      </c>
      <c r="P9" s="1">
        <v>0.0</v>
      </c>
      <c r="Q9" s="1">
        <v>0.0</v>
      </c>
      <c r="R9" s="1">
        <v>40.0</v>
      </c>
      <c r="S9" s="1">
        <v>10.0</v>
      </c>
      <c r="T9" s="1" t="s">
        <v>7</v>
      </c>
      <c r="U9" s="1" t="s">
        <v>314</v>
      </c>
      <c r="V9" s="2">
        <v>46211.0</v>
      </c>
    </row>
    <row r="10">
      <c r="A10" s="3" t="s">
        <v>321</v>
      </c>
      <c r="B10" s="3" t="s">
        <v>322</v>
      </c>
      <c r="C10" s="3" t="s">
        <v>323</v>
      </c>
      <c r="D10" s="3" t="s">
        <v>313</v>
      </c>
      <c r="E10" s="4">
        <v>2.0</v>
      </c>
      <c r="F10" s="3" t="s">
        <v>116</v>
      </c>
      <c r="G10" s="1" t="s">
        <v>117</v>
      </c>
      <c r="H10" s="1">
        <v>1.0</v>
      </c>
      <c r="I10" s="1">
        <v>3.0</v>
      </c>
      <c r="J10" s="1" t="s">
        <v>82</v>
      </c>
      <c r="K10" s="1" t="s">
        <v>82</v>
      </c>
      <c r="L10" s="1" t="s">
        <v>82</v>
      </c>
      <c r="M10" s="1" t="s">
        <v>82</v>
      </c>
      <c r="N10" s="1">
        <v>0.0</v>
      </c>
      <c r="O10" s="1">
        <v>0.0</v>
      </c>
      <c r="P10" s="1">
        <v>1.0</v>
      </c>
      <c r="Q10" s="1">
        <v>0.0</v>
      </c>
      <c r="R10" s="1">
        <v>40.0</v>
      </c>
      <c r="S10" s="1">
        <v>10.0</v>
      </c>
      <c r="T10" s="1" t="s">
        <v>7</v>
      </c>
      <c r="U10" s="1" t="s">
        <v>314</v>
      </c>
      <c r="V10" s="2">
        <v>46211.0</v>
      </c>
    </row>
    <row r="11">
      <c r="A11" s="3" t="s">
        <v>324</v>
      </c>
      <c r="B11" s="3" t="s">
        <v>325</v>
      </c>
      <c r="C11" s="3" t="s">
        <v>326</v>
      </c>
      <c r="D11" s="3" t="s">
        <v>313</v>
      </c>
      <c r="E11" s="4">
        <v>2.0</v>
      </c>
      <c r="F11" s="3" t="s">
        <v>90</v>
      </c>
      <c r="G11" s="1" t="s">
        <v>91</v>
      </c>
      <c r="H11" s="1">
        <v>5.0</v>
      </c>
      <c r="I11" s="1">
        <v>8.0</v>
      </c>
      <c r="J11" s="1" t="s">
        <v>96</v>
      </c>
      <c r="K11" s="1" t="s">
        <v>97</v>
      </c>
      <c r="L11" s="1">
        <v>-7.0</v>
      </c>
      <c r="M11" s="1">
        <v>-4.0</v>
      </c>
      <c r="N11" s="1">
        <v>1.0</v>
      </c>
      <c r="O11" s="1">
        <v>0.0</v>
      </c>
      <c r="P11" s="1">
        <v>0.0</v>
      </c>
      <c r="Q11" s="1">
        <v>0.0</v>
      </c>
      <c r="R11" s="1">
        <v>48.0</v>
      </c>
      <c r="S11" s="1">
        <v>5.0</v>
      </c>
      <c r="T11" s="1" t="s">
        <v>7</v>
      </c>
      <c r="U11" s="1" t="s">
        <v>327</v>
      </c>
      <c r="V11" s="2">
        <v>46211.0</v>
      </c>
    </row>
    <row r="12">
      <c r="A12" s="11"/>
      <c r="B12" s="11"/>
      <c r="C12" s="11"/>
      <c r="D12" s="11"/>
      <c r="E12" s="12"/>
      <c r="F12" s="11"/>
    </row>
    <row r="13">
      <c r="A13" s="11"/>
      <c r="B13" s="11"/>
      <c r="C13" s="11"/>
      <c r="D13" s="11"/>
      <c r="E13" s="12"/>
      <c r="F13" s="11"/>
    </row>
    <row r="14">
      <c r="A14" s="11"/>
      <c r="B14" s="11"/>
      <c r="C14" s="11"/>
      <c r="D14" s="11"/>
      <c r="E14" s="12"/>
      <c r="F14" s="11"/>
    </row>
    <row r="15">
      <c r="A15" s="11"/>
      <c r="B15" s="11"/>
      <c r="C15" s="11"/>
      <c r="D15" s="11"/>
      <c r="E15" s="12"/>
      <c r="F15" s="11"/>
      <c r="U15" s="2"/>
    </row>
    <row r="16">
      <c r="A16" s="11"/>
      <c r="B16" s="11"/>
      <c r="C16" s="11"/>
      <c r="D16" s="11"/>
      <c r="E16" s="12"/>
      <c r="F16" s="11"/>
      <c r="U16" s="2"/>
    </row>
    <row r="17">
      <c r="A17" s="11"/>
      <c r="B17" s="11"/>
      <c r="C17" s="11"/>
      <c r="D17" s="11"/>
      <c r="E17" s="12"/>
      <c r="F17" s="11"/>
      <c r="U17" s="2"/>
    </row>
    <row r="18">
      <c r="A18" s="11"/>
      <c r="B18" s="11"/>
      <c r="C18" s="11"/>
      <c r="D18" s="11"/>
      <c r="E18" s="12"/>
      <c r="F18" s="11"/>
      <c r="U18" s="2"/>
    </row>
    <row r="19">
      <c r="A19" s="11"/>
      <c r="B19" s="11"/>
      <c r="C19" s="11"/>
      <c r="D19" s="11"/>
      <c r="E19" s="12"/>
      <c r="F19" s="11"/>
      <c r="S19" s="2"/>
    </row>
    <row r="20">
      <c r="A20" s="11"/>
      <c r="B20" s="11"/>
      <c r="C20" s="11"/>
      <c r="D20" s="11"/>
      <c r="E20" s="12"/>
      <c r="F20" s="11"/>
      <c r="U20" s="2"/>
    </row>
    <row r="21">
      <c r="A21" s="11"/>
      <c r="B21" s="11"/>
      <c r="C21" s="11"/>
      <c r="D21" s="11"/>
      <c r="E21" s="12"/>
      <c r="F21" s="11"/>
      <c r="U21" s="2"/>
    </row>
    <row r="22">
      <c r="A22" s="11"/>
      <c r="B22" s="11"/>
      <c r="C22" s="11"/>
      <c r="D22" s="11"/>
      <c r="E22" s="12"/>
      <c r="F22" s="11"/>
      <c r="U22" s="2"/>
    </row>
    <row r="23">
      <c r="A23" s="11"/>
      <c r="B23" s="11"/>
      <c r="C23" s="11"/>
      <c r="D23" s="11"/>
      <c r="E23" s="12"/>
      <c r="F23" s="11"/>
      <c r="U23" s="2"/>
    </row>
    <row r="24">
      <c r="A24" s="11"/>
      <c r="B24" s="11"/>
      <c r="C24" s="11"/>
      <c r="D24" s="11"/>
      <c r="E24" s="12"/>
      <c r="F24" s="11"/>
      <c r="S24" s="2"/>
    </row>
    <row r="25">
      <c r="A25" s="11"/>
      <c r="B25" s="11"/>
      <c r="C25" s="11"/>
      <c r="D25" s="11"/>
      <c r="E25" s="12"/>
      <c r="F25" s="11"/>
    </row>
    <row r="26">
      <c r="A26" s="11"/>
      <c r="B26" s="11"/>
      <c r="C26" s="11"/>
      <c r="D26" s="11"/>
      <c r="E26" s="12"/>
      <c r="F26" s="11"/>
    </row>
    <row r="27">
      <c r="A27" s="11"/>
      <c r="B27" s="11"/>
      <c r="C27" s="11"/>
      <c r="D27" s="11"/>
      <c r="E27" s="12"/>
      <c r="F27" s="11"/>
    </row>
    <row r="28">
      <c r="A28" s="11"/>
      <c r="B28" s="11"/>
      <c r="C28" s="11"/>
      <c r="D28" s="11"/>
      <c r="E28" s="12"/>
      <c r="F28" s="11"/>
    </row>
    <row r="29">
      <c r="A29" s="11"/>
      <c r="B29" s="11"/>
      <c r="C29" s="11"/>
      <c r="D29" s="11"/>
      <c r="E29" s="12"/>
      <c r="F29" s="11"/>
    </row>
    <row r="30">
      <c r="A30" s="11"/>
      <c r="B30" s="11"/>
      <c r="C30" s="11"/>
      <c r="D30" s="11"/>
      <c r="E30" s="12"/>
      <c r="F30" s="11"/>
    </row>
    <row r="31">
      <c r="A31" s="11"/>
      <c r="B31" s="11"/>
      <c r="C31" s="11"/>
      <c r="D31" s="11"/>
      <c r="E31" s="12"/>
      <c r="F31" s="11"/>
    </row>
    <row r="32">
      <c r="A32" s="11"/>
      <c r="B32" s="11"/>
      <c r="C32" s="11"/>
      <c r="D32" s="11"/>
      <c r="E32" s="12"/>
      <c r="F32" s="11"/>
    </row>
    <row r="33">
      <c r="A33" s="11"/>
      <c r="B33" s="11"/>
      <c r="C33" s="11"/>
      <c r="D33" s="11"/>
      <c r="E33" s="12"/>
      <c r="F33" s="11"/>
    </row>
    <row r="34">
      <c r="A34" s="11"/>
      <c r="B34" s="11"/>
      <c r="C34" s="11"/>
      <c r="D34" s="11"/>
      <c r="E34" s="12"/>
      <c r="F34" s="11"/>
    </row>
    <row r="35">
      <c r="A35" s="11"/>
      <c r="B35" s="11"/>
      <c r="C35" s="11"/>
      <c r="D35" s="11"/>
      <c r="E35" s="12"/>
      <c r="F35" s="11"/>
    </row>
    <row r="36">
      <c r="A36" s="11"/>
      <c r="B36" s="11"/>
      <c r="C36" s="11"/>
      <c r="D36" s="11"/>
      <c r="E36" s="12"/>
      <c r="F36" s="11"/>
    </row>
    <row r="37">
      <c r="A37" s="11"/>
      <c r="B37" s="11"/>
      <c r="C37" s="11"/>
      <c r="D37" s="11"/>
      <c r="E37" s="12"/>
      <c r="F37" s="11"/>
    </row>
    <row r="38">
      <c r="A38" s="11"/>
      <c r="B38" s="11"/>
      <c r="C38" s="11"/>
      <c r="D38" s="11"/>
      <c r="E38" s="12"/>
      <c r="F38" s="11"/>
    </row>
    <row r="39">
      <c r="A39" s="11"/>
      <c r="B39" s="11"/>
      <c r="C39" s="11"/>
      <c r="D39" s="11"/>
      <c r="E39" s="12"/>
      <c r="F39" s="11"/>
    </row>
    <row r="40">
      <c r="A40" s="11"/>
      <c r="B40" s="11"/>
      <c r="C40" s="11"/>
      <c r="D40" s="11"/>
      <c r="E40" s="12"/>
      <c r="F40" s="11"/>
    </row>
    <row r="41">
      <c r="A41" s="11"/>
      <c r="B41" s="11"/>
      <c r="C41" s="11"/>
      <c r="D41" s="11"/>
      <c r="E41" s="12"/>
      <c r="F41" s="11"/>
    </row>
    <row r="42">
      <c r="A42" s="11"/>
      <c r="B42" s="11"/>
      <c r="C42" s="11"/>
      <c r="D42" s="11"/>
      <c r="E42" s="12"/>
      <c r="F42" s="11"/>
    </row>
    <row r="43">
      <c r="A43" s="11"/>
      <c r="B43" s="11"/>
      <c r="C43" s="11"/>
      <c r="D43" s="11"/>
      <c r="E43" s="12"/>
      <c r="F43" s="11"/>
    </row>
    <row r="44">
      <c r="A44" s="11"/>
      <c r="B44" s="11"/>
      <c r="C44" s="11"/>
      <c r="D44" s="11"/>
      <c r="E44" s="12"/>
      <c r="F44" s="11"/>
    </row>
    <row r="45">
      <c r="A45" s="11"/>
      <c r="B45" s="11"/>
      <c r="C45" s="11"/>
      <c r="D45" s="11"/>
      <c r="E45" s="12"/>
      <c r="F45" s="11"/>
    </row>
    <row r="46">
      <c r="A46" s="11"/>
      <c r="B46" s="11"/>
      <c r="C46" s="11"/>
      <c r="D46" s="11"/>
      <c r="E46" s="12"/>
      <c r="F46" s="11"/>
    </row>
    <row r="47">
      <c r="A47" s="11"/>
      <c r="B47" s="11"/>
      <c r="C47" s="11"/>
      <c r="D47" s="11"/>
      <c r="E47" s="12"/>
      <c r="F47" s="11"/>
    </row>
    <row r="48">
      <c r="A48" s="11"/>
      <c r="B48" s="11"/>
      <c r="C48" s="11"/>
      <c r="D48" s="11"/>
      <c r="E48" s="12"/>
      <c r="F48" s="11"/>
    </row>
    <row r="49">
      <c r="A49" s="11"/>
      <c r="B49" s="11"/>
      <c r="C49" s="11"/>
      <c r="D49" s="11"/>
      <c r="E49" s="12"/>
      <c r="F49" s="11"/>
    </row>
    <row r="50">
      <c r="A50" s="11"/>
      <c r="B50" s="11"/>
      <c r="C50" s="11"/>
      <c r="D50" s="11"/>
      <c r="E50" s="12"/>
      <c r="F50" s="11"/>
    </row>
    <row r="51">
      <c r="A51" s="11"/>
      <c r="B51" s="11"/>
      <c r="C51" s="11"/>
      <c r="D51" s="11"/>
      <c r="E51" s="12"/>
      <c r="F51" s="11"/>
    </row>
    <row r="52">
      <c r="A52" s="11"/>
      <c r="B52" s="11"/>
      <c r="C52" s="11"/>
      <c r="D52" s="11"/>
      <c r="E52" s="12"/>
      <c r="F52" s="11"/>
    </row>
    <row r="53">
      <c r="A53" s="11"/>
      <c r="B53" s="11"/>
      <c r="C53" s="11"/>
      <c r="D53" s="11"/>
      <c r="E53" s="12"/>
      <c r="F53" s="11"/>
    </row>
    <row r="54">
      <c r="A54" s="11"/>
      <c r="B54" s="11"/>
      <c r="C54" s="11"/>
      <c r="D54" s="11"/>
      <c r="E54" s="12"/>
      <c r="F54" s="11"/>
    </row>
    <row r="55">
      <c r="A55" s="11"/>
      <c r="B55" s="11"/>
      <c r="C55" s="11"/>
      <c r="D55" s="11"/>
      <c r="E55" s="12"/>
      <c r="F55" s="11"/>
    </row>
    <row r="56">
      <c r="A56" s="11"/>
      <c r="B56" s="11"/>
      <c r="C56" s="11"/>
      <c r="D56" s="11"/>
      <c r="E56" s="12"/>
      <c r="F56" s="11"/>
    </row>
    <row r="57">
      <c r="A57" s="11"/>
      <c r="B57" s="11"/>
      <c r="C57" s="11"/>
      <c r="D57" s="11"/>
      <c r="E57" s="12"/>
      <c r="F57" s="11"/>
    </row>
    <row r="58">
      <c r="A58" s="11"/>
      <c r="B58" s="11"/>
      <c r="C58" s="11"/>
      <c r="D58" s="11"/>
      <c r="E58" s="12"/>
      <c r="F58" s="11"/>
    </row>
    <row r="59">
      <c r="A59" s="11"/>
      <c r="B59" s="11"/>
      <c r="C59" s="11"/>
      <c r="D59" s="11"/>
      <c r="E59" s="12"/>
      <c r="F59" s="11"/>
    </row>
    <row r="60">
      <c r="A60" s="11"/>
      <c r="B60" s="11"/>
      <c r="C60" s="11"/>
      <c r="D60" s="11"/>
      <c r="E60" s="12"/>
      <c r="F60" s="11"/>
    </row>
    <row r="61">
      <c r="A61" s="11"/>
      <c r="B61" s="11"/>
      <c r="C61" s="11"/>
      <c r="D61" s="11"/>
      <c r="E61" s="12"/>
      <c r="F61" s="11"/>
    </row>
    <row r="62">
      <c r="A62" s="11"/>
      <c r="B62" s="11"/>
      <c r="C62" s="11"/>
      <c r="D62" s="11"/>
      <c r="E62" s="12"/>
      <c r="F62" s="11"/>
    </row>
    <row r="63">
      <c r="A63" s="11"/>
      <c r="B63" s="11"/>
      <c r="C63" s="11"/>
      <c r="D63" s="11"/>
      <c r="E63" s="12"/>
      <c r="F63" s="11"/>
    </row>
    <row r="64">
      <c r="A64" s="11"/>
      <c r="B64" s="11"/>
      <c r="C64" s="11"/>
      <c r="D64" s="11"/>
      <c r="E64" s="12"/>
      <c r="F64" s="11"/>
    </row>
    <row r="65">
      <c r="A65" s="11"/>
      <c r="B65" s="11"/>
      <c r="C65" s="11"/>
      <c r="D65" s="11"/>
      <c r="E65" s="12"/>
      <c r="F65" s="11"/>
    </row>
    <row r="66">
      <c r="A66" s="11"/>
      <c r="B66" s="11"/>
      <c r="C66" s="11"/>
      <c r="D66" s="11"/>
      <c r="E66" s="12"/>
      <c r="F66" s="11"/>
    </row>
    <row r="67">
      <c r="A67" s="11"/>
      <c r="B67" s="11"/>
      <c r="C67" s="11"/>
      <c r="D67" s="11"/>
      <c r="E67" s="12"/>
      <c r="F67" s="11"/>
    </row>
    <row r="68">
      <c r="A68" s="11"/>
      <c r="B68" s="11"/>
      <c r="C68" s="11"/>
      <c r="D68" s="11"/>
      <c r="E68" s="12"/>
      <c r="F68" s="11"/>
    </row>
    <row r="69">
      <c r="A69" s="11"/>
      <c r="B69" s="11"/>
      <c r="C69" s="11"/>
      <c r="D69" s="11"/>
      <c r="E69" s="12"/>
      <c r="F69" s="11"/>
    </row>
    <row r="70">
      <c r="A70" s="11"/>
      <c r="B70" s="11"/>
      <c r="C70" s="11"/>
      <c r="D70" s="11"/>
      <c r="E70" s="12"/>
      <c r="F70" s="11"/>
    </row>
    <row r="71">
      <c r="A71" s="11"/>
      <c r="B71" s="11"/>
      <c r="C71" s="11"/>
      <c r="D71" s="11"/>
      <c r="E71" s="12"/>
      <c r="F71" s="11"/>
    </row>
    <row r="72">
      <c r="A72" s="11"/>
      <c r="B72" s="11"/>
      <c r="C72" s="11"/>
      <c r="D72" s="11"/>
      <c r="E72" s="12"/>
      <c r="F72" s="11"/>
    </row>
    <row r="73">
      <c r="A73" s="11"/>
      <c r="B73" s="11"/>
      <c r="C73" s="11"/>
      <c r="D73" s="11"/>
      <c r="E73" s="12"/>
      <c r="F73" s="11"/>
    </row>
    <row r="74">
      <c r="A74" s="11"/>
      <c r="B74" s="11"/>
      <c r="C74" s="11"/>
      <c r="D74" s="11"/>
      <c r="E74" s="12"/>
      <c r="F74" s="11"/>
    </row>
    <row r="75">
      <c r="A75" s="11"/>
      <c r="B75" s="11"/>
      <c r="C75" s="11"/>
      <c r="D75" s="11"/>
      <c r="E75" s="12"/>
      <c r="F75" s="11"/>
    </row>
    <row r="76">
      <c r="A76" s="11"/>
      <c r="B76" s="11"/>
      <c r="C76" s="11"/>
      <c r="D76" s="11"/>
      <c r="E76" s="12"/>
      <c r="F76" s="11"/>
    </row>
    <row r="77">
      <c r="A77" s="11"/>
      <c r="B77" s="11"/>
      <c r="C77" s="11"/>
      <c r="D77" s="11"/>
      <c r="E77" s="12"/>
      <c r="F77" s="11"/>
    </row>
    <row r="78">
      <c r="A78" s="11"/>
      <c r="B78" s="11"/>
      <c r="C78" s="11"/>
      <c r="D78" s="11"/>
      <c r="E78" s="12"/>
      <c r="F78" s="11"/>
    </row>
    <row r="79">
      <c r="A79" s="11"/>
      <c r="B79" s="11"/>
      <c r="C79" s="11"/>
      <c r="D79" s="11"/>
      <c r="E79" s="12"/>
      <c r="F79" s="11"/>
    </row>
    <row r="80">
      <c r="A80" s="11"/>
      <c r="B80" s="11"/>
      <c r="C80" s="11"/>
      <c r="D80" s="11"/>
      <c r="E80" s="12"/>
      <c r="F80" s="11"/>
    </row>
    <row r="81">
      <c r="A81" s="11"/>
      <c r="B81" s="11"/>
      <c r="C81" s="11"/>
      <c r="D81" s="11"/>
      <c r="E81" s="12"/>
      <c r="F81" s="11"/>
    </row>
    <row r="82">
      <c r="A82" s="11"/>
      <c r="B82" s="11"/>
      <c r="C82" s="11"/>
      <c r="D82" s="11"/>
      <c r="E82" s="12"/>
      <c r="F82" s="11"/>
    </row>
    <row r="83">
      <c r="A83" s="11"/>
      <c r="B83" s="11"/>
      <c r="C83" s="11"/>
      <c r="D83" s="11"/>
      <c r="E83" s="12"/>
      <c r="F83" s="11"/>
    </row>
    <row r="84">
      <c r="A84" s="11"/>
      <c r="B84" s="11"/>
      <c r="C84" s="11"/>
      <c r="D84" s="11"/>
      <c r="E84" s="12"/>
      <c r="F84" s="11"/>
    </row>
    <row r="85">
      <c r="A85" s="11"/>
      <c r="B85" s="11"/>
      <c r="C85" s="11"/>
      <c r="D85" s="11"/>
      <c r="E85" s="12"/>
      <c r="F85" s="11"/>
    </row>
    <row r="86">
      <c r="A86" s="11"/>
      <c r="B86" s="11"/>
      <c r="C86" s="11"/>
      <c r="D86" s="11"/>
      <c r="E86" s="12"/>
      <c r="F86" s="11"/>
    </row>
    <row r="87">
      <c r="A87" s="11"/>
      <c r="B87" s="11"/>
      <c r="C87" s="11"/>
      <c r="D87" s="11"/>
      <c r="E87" s="12"/>
      <c r="F87" s="11"/>
    </row>
    <row r="88">
      <c r="A88" s="11"/>
      <c r="B88" s="11"/>
      <c r="C88" s="11"/>
      <c r="D88" s="11"/>
      <c r="E88" s="12"/>
      <c r="F88" s="11"/>
    </row>
    <row r="89">
      <c r="A89" s="11"/>
      <c r="B89" s="11"/>
      <c r="C89" s="11"/>
      <c r="D89" s="11"/>
      <c r="E89" s="12"/>
      <c r="F89" s="11"/>
    </row>
    <row r="90">
      <c r="A90" s="11"/>
      <c r="B90" s="11"/>
      <c r="C90" s="11"/>
      <c r="D90" s="11"/>
      <c r="E90" s="12"/>
      <c r="F90" s="11"/>
    </row>
    <row r="91">
      <c r="A91" s="11"/>
      <c r="B91" s="11"/>
      <c r="C91" s="11"/>
      <c r="D91" s="11"/>
      <c r="E91" s="12"/>
      <c r="F91" s="11"/>
    </row>
    <row r="92">
      <c r="A92" s="11"/>
      <c r="B92" s="11"/>
      <c r="C92" s="11"/>
      <c r="D92" s="11"/>
      <c r="E92" s="12"/>
      <c r="F92" s="11"/>
    </row>
    <row r="93">
      <c r="A93" s="11"/>
      <c r="B93" s="11"/>
      <c r="C93" s="11"/>
      <c r="D93" s="11"/>
      <c r="E93" s="12"/>
      <c r="F93" s="11"/>
    </row>
    <row r="94">
      <c r="A94" s="11"/>
      <c r="B94" s="11"/>
      <c r="C94" s="11"/>
      <c r="D94" s="11"/>
      <c r="E94" s="12"/>
      <c r="F94" s="11"/>
    </row>
    <row r="95">
      <c r="A95" s="11"/>
      <c r="B95" s="11"/>
      <c r="C95" s="11"/>
      <c r="D95" s="11"/>
      <c r="E95" s="12"/>
      <c r="F95" s="11"/>
    </row>
    <row r="96">
      <c r="A96" s="11"/>
      <c r="B96" s="11"/>
      <c r="C96" s="11"/>
      <c r="D96" s="11"/>
      <c r="E96" s="12"/>
      <c r="F96" s="11"/>
    </row>
    <row r="97">
      <c r="A97" s="11"/>
      <c r="B97" s="11"/>
      <c r="C97" s="11"/>
      <c r="D97" s="11"/>
      <c r="E97" s="12"/>
      <c r="F97" s="11"/>
    </row>
    <row r="98">
      <c r="A98" s="11"/>
      <c r="B98" s="11"/>
      <c r="C98" s="11"/>
      <c r="D98" s="11"/>
      <c r="E98" s="12"/>
      <c r="F98" s="11"/>
    </row>
    <row r="99">
      <c r="A99" s="11"/>
      <c r="B99" s="11"/>
      <c r="C99" s="11"/>
      <c r="D99" s="11"/>
      <c r="E99" s="12"/>
      <c r="F99" s="11"/>
    </row>
    <row r="100">
      <c r="A100" s="11"/>
      <c r="B100" s="11"/>
      <c r="C100" s="11"/>
      <c r="D100" s="11"/>
      <c r="E100" s="12"/>
      <c r="F100" s="11"/>
    </row>
    <row r="101">
      <c r="A101" s="11"/>
      <c r="B101" s="11"/>
      <c r="C101" s="11"/>
      <c r="D101" s="11"/>
      <c r="E101" s="12"/>
      <c r="F101" s="11"/>
    </row>
    <row r="102">
      <c r="A102" s="11"/>
      <c r="B102" s="11"/>
      <c r="C102" s="11"/>
      <c r="D102" s="11"/>
      <c r="E102" s="12"/>
      <c r="F102" s="11"/>
    </row>
    <row r="103">
      <c r="A103" s="11"/>
      <c r="B103" s="11"/>
      <c r="C103" s="11"/>
      <c r="D103" s="11"/>
      <c r="E103" s="12"/>
      <c r="F103" s="11"/>
    </row>
    <row r="104">
      <c r="A104" s="11"/>
      <c r="B104" s="11"/>
      <c r="C104" s="11"/>
      <c r="D104" s="11"/>
      <c r="E104" s="12"/>
      <c r="F104" s="11"/>
    </row>
    <row r="105">
      <c r="A105" s="11"/>
      <c r="B105" s="11"/>
      <c r="C105" s="11"/>
      <c r="D105" s="11"/>
      <c r="E105" s="12"/>
      <c r="F105" s="11"/>
    </row>
    <row r="106">
      <c r="A106" s="11"/>
      <c r="B106" s="11"/>
      <c r="C106" s="11"/>
      <c r="D106" s="11"/>
      <c r="E106" s="12"/>
      <c r="F106" s="11"/>
    </row>
    <row r="107">
      <c r="A107" s="11"/>
      <c r="B107" s="11"/>
      <c r="C107" s="11"/>
      <c r="D107" s="11"/>
      <c r="E107" s="12"/>
      <c r="F107" s="11"/>
    </row>
    <row r="108">
      <c r="A108" s="11"/>
      <c r="B108" s="11"/>
      <c r="C108" s="11"/>
      <c r="D108" s="11"/>
      <c r="E108" s="12"/>
      <c r="F108" s="11"/>
    </row>
    <row r="109">
      <c r="A109" s="11"/>
      <c r="B109" s="11"/>
      <c r="C109" s="11"/>
      <c r="D109" s="11"/>
      <c r="E109" s="12"/>
      <c r="F109" s="11"/>
    </row>
    <row r="110">
      <c r="A110" s="11"/>
      <c r="B110" s="11"/>
      <c r="C110" s="11"/>
      <c r="D110" s="11"/>
      <c r="E110" s="12"/>
      <c r="F110" s="11"/>
    </row>
    <row r="111">
      <c r="A111" s="11"/>
      <c r="B111" s="11"/>
      <c r="C111" s="11"/>
      <c r="D111" s="11"/>
      <c r="E111" s="12"/>
      <c r="F111" s="11"/>
    </row>
    <row r="112">
      <c r="A112" s="11"/>
      <c r="B112" s="11"/>
      <c r="C112" s="11"/>
      <c r="D112" s="11"/>
      <c r="E112" s="12"/>
      <c r="F112" s="11"/>
    </row>
    <row r="113">
      <c r="A113" s="11"/>
      <c r="B113" s="11"/>
      <c r="C113" s="11"/>
      <c r="D113" s="11"/>
      <c r="E113" s="12"/>
      <c r="F113" s="11"/>
    </row>
    <row r="114">
      <c r="A114" s="11"/>
      <c r="B114" s="11"/>
      <c r="C114" s="11"/>
      <c r="D114" s="11"/>
      <c r="E114" s="12"/>
      <c r="F114" s="11"/>
    </row>
    <row r="115">
      <c r="A115" s="11"/>
      <c r="B115" s="11"/>
      <c r="C115" s="11"/>
      <c r="D115" s="11"/>
      <c r="E115" s="12"/>
      <c r="F115" s="11"/>
    </row>
    <row r="116">
      <c r="A116" s="11"/>
      <c r="B116" s="11"/>
      <c r="C116" s="11"/>
      <c r="D116" s="11"/>
      <c r="E116" s="12"/>
      <c r="F116" s="11"/>
    </row>
    <row r="117">
      <c r="A117" s="11"/>
      <c r="B117" s="11"/>
      <c r="C117" s="11"/>
      <c r="D117" s="11"/>
      <c r="E117" s="12"/>
      <c r="F117" s="11"/>
    </row>
    <row r="118">
      <c r="A118" s="11"/>
      <c r="B118" s="11"/>
      <c r="C118" s="11"/>
      <c r="D118" s="11"/>
      <c r="E118" s="12"/>
      <c r="F118" s="11"/>
    </row>
    <row r="119">
      <c r="A119" s="11"/>
      <c r="B119" s="11"/>
      <c r="C119" s="11"/>
      <c r="D119" s="11"/>
      <c r="E119" s="12"/>
      <c r="F119" s="11"/>
    </row>
    <row r="120">
      <c r="A120" s="11"/>
      <c r="B120" s="11"/>
      <c r="C120" s="11"/>
      <c r="D120" s="11"/>
      <c r="E120" s="12"/>
      <c r="F120" s="11"/>
    </row>
    <row r="121">
      <c r="A121" s="11"/>
      <c r="B121" s="11"/>
      <c r="C121" s="11"/>
      <c r="D121" s="11"/>
      <c r="E121" s="12"/>
      <c r="F121" s="11"/>
    </row>
    <row r="122">
      <c r="A122" s="11"/>
      <c r="B122" s="11"/>
      <c r="C122" s="11"/>
      <c r="D122" s="11"/>
      <c r="E122" s="12"/>
      <c r="F122" s="11"/>
    </row>
    <row r="123">
      <c r="A123" s="11"/>
      <c r="B123" s="11"/>
      <c r="C123" s="11"/>
      <c r="D123" s="11"/>
      <c r="E123" s="12"/>
      <c r="F123" s="11"/>
    </row>
    <row r="124">
      <c r="A124" s="11"/>
      <c r="B124" s="11"/>
      <c r="C124" s="11"/>
      <c r="D124" s="11"/>
      <c r="E124" s="12"/>
      <c r="F124" s="11"/>
    </row>
    <row r="125">
      <c r="A125" s="11"/>
      <c r="B125" s="11"/>
      <c r="C125" s="11"/>
      <c r="D125" s="11"/>
      <c r="E125" s="12"/>
      <c r="F125" s="11"/>
    </row>
    <row r="126">
      <c r="A126" s="11"/>
      <c r="B126" s="11"/>
      <c r="C126" s="11"/>
      <c r="D126" s="11"/>
      <c r="E126" s="12"/>
      <c r="F126" s="11"/>
    </row>
    <row r="127">
      <c r="A127" s="11"/>
      <c r="B127" s="11"/>
      <c r="C127" s="11"/>
      <c r="D127" s="11"/>
      <c r="E127" s="12"/>
      <c r="F127" s="11"/>
    </row>
    <row r="128">
      <c r="A128" s="11"/>
      <c r="B128" s="11"/>
      <c r="C128" s="11"/>
      <c r="D128" s="11"/>
      <c r="E128" s="12"/>
      <c r="F128" s="11"/>
    </row>
    <row r="129">
      <c r="A129" s="11"/>
      <c r="B129" s="11"/>
      <c r="C129" s="11"/>
      <c r="D129" s="11"/>
      <c r="E129" s="12"/>
      <c r="F129" s="11"/>
    </row>
    <row r="130">
      <c r="A130" s="11"/>
      <c r="B130" s="11"/>
      <c r="C130" s="11"/>
      <c r="D130" s="11"/>
      <c r="E130" s="12"/>
      <c r="F130" s="11"/>
    </row>
    <row r="131">
      <c r="A131" s="11"/>
      <c r="B131" s="11"/>
      <c r="C131" s="11"/>
      <c r="D131" s="11"/>
      <c r="E131" s="12"/>
      <c r="F131" s="11"/>
    </row>
    <row r="132">
      <c r="A132" s="11"/>
      <c r="B132" s="11"/>
      <c r="C132" s="11"/>
      <c r="D132" s="11"/>
      <c r="E132" s="12"/>
      <c r="F132" s="11"/>
    </row>
    <row r="133">
      <c r="A133" s="11"/>
      <c r="B133" s="11"/>
      <c r="C133" s="11"/>
      <c r="D133" s="11"/>
      <c r="E133" s="12"/>
      <c r="F133" s="11"/>
    </row>
    <row r="134">
      <c r="A134" s="11"/>
      <c r="B134" s="11"/>
      <c r="C134" s="11"/>
      <c r="D134" s="11"/>
      <c r="E134" s="12"/>
      <c r="F134" s="11"/>
    </row>
    <row r="135">
      <c r="A135" s="11"/>
      <c r="B135" s="11"/>
      <c r="C135" s="11"/>
      <c r="D135" s="11"/>
      <c r="E135" s="12"/>
      <c r="F135" s="11"/>
    </row>
    <row r="136">
      <c r="A136" s="11"/>
      <c r="B136" s="11"/>
      <c r="C136" s="11"/>
      <c r="D136" s="11"/>
      <c r="E136" s="12"/>
      <c r="F136" s="11"/>
    </row>
    <row r="137">
      <c r="A137" s="11"/>
      <c r="B137" s="11"/>
      <c r="C137" s="11"/>
      <c r="D137" s="11"/>
      <c r="E137" s="12"/>
      <c r="F137" s="11"/>
    </row>
    <row r="138">
      <c r="A138" s="11"/>
      <c r="B138" s="11"/>
      <c r="C138" s="11"/>
      <c r="D138" s="11"/>
      <c r="E138" s="12"/>
      <c r="F138" s="11"/>
    </row>
    <row r="139">
      <c r="A139" s="11"/>
      <c r="B139" s="11"/>
      <c r="C139" s="11"/>
      <c r="D139" s="11"/>
      <c r="E139" s="12"/>
      <c r="F139" s="11"/>
    </row>
    <row r="140">
      <c r="A140" s="11"/>
      <c r="B140" s="11"/>
      <c r="C140" s="11"/>
      <c r="D140" s="11"/>
      <c r="E140" s="12"/>
      <c r="F140" s="11"/>
    </row>
    <row r="141">
      <c r="A141" s="11"/>
      <c r="B141" s="11"/>
      <c r="C141" s="11"/>
      <c r="D141" s="11"/>
      <c r="E141" s="12"/>
      <c r="F141" s="11"/>
    </row>
    <row r="142">
      <c r="A142" s="11"/>
      <c r="B142" s="11"/>
      <c r="C142" s="11"/>
      <c r="D142" s="11"/>
      <c r="E142" s="12"/>
      <c r="F142" s="11"/>
    </row>
    <row r="143">
      <c r="A143" s="11"/>
      <c r="B143" s="11"/>
      <c r="C143" s="11"/>
      <c r="D143" s="11"/>
      <c r="E143" s="12"/>
      <c r="F143" s="11"/>
    </row>
    <row r="144">
      <c r="A144" s="11"/>
      <c r="B144" s="11"/>
      <c r="C144" s="11"/>
      <c r="D144" s="11"/>
      <c r="E144" s="12"/>
      <c r="F144" s="11"/>
    </row>
    <row r="145">
      <c r="A145" s="11"/>
      <c r="B145" s="11"/>
      <c r="C145" s="11"/>
      <c r="D145" s="11"/>
      <c r="E145" s="12"/>
      <c r="F145" s="11"/>
    </row>
    <row r="146">
      <c r="A146" s="11"/>
      <c r="B146" s="11"/>
      <c r="C146" s="11"/>
      <c r="D146" s="11"/>
      <c r="E146" s="12"/>
      <c r="F146" s="11"/>
    </row>
    <row r="147">
      <c r="A147" s="11"/>
      <c r="B147" s="11"/>
      <c r="C147" s="11"/>
      <c r="D147" s="11"/>
      <c r="E147" s="12"/>
      <c r="F147" s="11"/>
    </row>
    <row r="148">
      <c r="A148" s="11"/>
      <c r="B148" s="11"/>
      <c r="C148" s="11"/>
      <c r="D148" s="11"/>
      <c r="E148" s="12"/>
      <c r="F148" s="11"/>
    </row>
    <row r="149">
      <c r="A149" s="11"/>
      <c r="B149" s="11"/>
      <c r="C149" s="11"/>
      <c r="D149" s="11"/>
      <c r="E149" s="12"/>
      <c r="F149" s="11"/>
    </row>
    <row r="150">
      <c r="A150" s="11"/>
      <c r="B150" s="11"/>
      <c r="C150" s="11"/>
      <c r="D150" s="11"/>
      <c r="E150" s="12"/>
      <c r="F150" s="11"/>
    </row>
    <row r="151">
      <c r="A151" s="11"/>
      <c r="B151" s="11"/>
      <c r="C151" s="11"/>
      <c r="D151" s="11"/>
      <c r="E151" s="12"/>
      <c r="F151" s="11"/>
    </row>
    <row r="152">
      <c r="A152" s="11"/>
      <c r="B152" s="11"/>
      <c r="C152" s="11"/>
      <c r="D152" s="11"/>
      <c r="E152" s="12"/>
      <c r="F152" s="11"/>
    </row>
    <row r="153">
      <c r="A153" s="11"/>
      <c r="B153" s="11"/>
      <c r="C153" s="11"/>
      <c r="D153" s="11"/>
      <c r="E153" s="12"/>
      <c r="F153" s="11"/>
    </row>
    <row r="154">
      <c r="A154" s="11"/>
      <c r="B154" s="11"/>
      <c r="C154" s="11"/>
      <c r="D154" s="11"/>
      <c r="E154" s="12"/>
      <c r="F154" s="11"/>
    </row>
    <row r="155">
      <c r="A155" s="11"/>
      <c r="B155" s="11"/>
      <c r="C155" s="11"/>
      <c r="D155" s="11"/>
      <c r="E155" s="12"/>
      <c r="F155" s="11"/>
    </row>
    <row r="156">
      <c r="A156" s="11"/>
      <c r="B156" s="11"/>
      <c r="C156" s="11"/>
      <c r="D156" s="11"/>
      <c r="E156" s="12"/>
      <c r="F156" s="11"/>
    </row>
    <row r="157">
      <c r="A157" s="11"/>
      <c r="B157" s="11"/>
      <c r="C157" s="11"/>
      <c r="D157" s="11"/>
      <c r="E157" s="12"/>
      <c r="F157" s="11"/>
    </row>
    <row r="158">
      <c r="A158" s="11"/>
      <c r="B158" s="11"/>
      <c r="C158" s="11"/>
      <c r="D158" s="11"/>
      <c r="E158" s="12"/>
      <c r="F158" s="11"/>
    </row>
    <row r="159">
      <c r="A159" s="11"/>
      <c r="B159" s="11"/>
      <c r="C159" s="11"/>
      <c r="D159" s="11"/>
      <c r="E159" s="12"/>
      <c r="F159" s="11"/>
    </row>
    <row r="160">
      <c r="A160" s="11"/>
      <c r="B160" s="11"/>
      <c r="C160" s="11"/>
      <c r="D160" s="11"/>
      <c r="E160" s="12"/>
      <c r="F160" s="11"/>
    </row>
    <row r="161">
      <c r="A161" s="11"/>
      <c r="B161" s="11"/>
      <c r="C161" s="11"/>
      <c r="D161" s="11"/>
      <c r="E161" s="12"/>
      <c r="F161" s="11"/>
    </row>
    <row r="162">
      <c r="A162" s="11"/>
      <c r="B162" s="11"/>
      <c r="C162" s="11"/>
      <c r="D162" s="11"/>
      <c r="E162" s="12"/>
      <c r="F162" s="11"/>
    </row>
    <row r="163">
      <c r="A163" s="11"/>
      <c r="B163" s="11"/>
      <c r="C163" s="11"/>
      <c r="D163" s="11"/>
      <c r="E163" s="12"/>
      <c r="F163" s="11"/>
    </row>
    <row r="164">
      <c r="A164" s="11"/>
      <c r="B164" s="11"/>
      <c r="C164" s="11"/>
      <c r="D164" s="11"/>
      <c r="E164" s="12"/>
      <c r="F164" s="11"/>
    </row>
    <row r="165">
      <c r="A165" s="11"/>
      <c r="B165" s="11"/>
      <c r="C165" s="11"/>
      <c r="D165" s="11"/>
      <c r="E165" s="12"/>
      <c r="F165" s="11"/>
    </row>
    <row r="166">
      <c r="A166" s="11"/>
      <c r="B166" s="11"/>
      <c r="C166" s="11"/>
      <c r="D166" s="11"/>
      <c r="E166" s="12"/>
      <c r="F166" s="11"/>
    </row>
    <row r="167">
      <c r="A167" s="11"/>
      <c r="B167" s="11"/>
      <c r="C167" s="11"/>
      <c r="D167" s="11"/>
      <c r="E167" s="12"/>
      <c r="F167" s="11"/>
    </row>
    <row r="168">
      <c r="A168" s="11"/>
      <c r="B168" s="11"/>
      <c r="C168" s="11"/>
      <c r="D168" s="11"/>
      <c r="E168" s="12"/>
      <c r="F168" s="11"/>
    </row>
    <row r="169">
      <c r="A169" s="11"/>
      <c r="B169" s="11"/>
      <c r="C169" s="11"/>
      <c r="D169" s="11"/>
      <c r="E169" s="12"/>
      <c r="F169" s="11"/>
    </row>
    <row r="170">
      <c r="A170" s="11"/>
      <c r="B170" s="11"/>
      <c r="C170" s="11"/>
      <c r="D170" s="11"/>
      <c r="E170" s="12"/>
      <c r="F170" s="11"/>
    </row>
    <row r="171">
      <c r="A171" s="11"/>
      <c r="B171" s="11"/>
      <c r="C171" s="11"/>
      <c r="D171" s="11"/>
      <c r="E171" s="12"/>
      <c r="F171" s="11"/>
    </row>
    <row r="172">
      <c r="A172" s="11"/>
      <c r="B172" s="11"/>
      <c r="C172" s="11"/>
      <c r="D172" s="11"/>
      <c r="E172" s="12"/>
      <c r="F172" s="11"/>
    </row>
    <row r="173">
      <c r="A173" s="11"/>
      <c r="B173" s="11"/>
      <c r="C173" s="11"/>
      <c r="D173" s="11"/>
      <c r="E173" s="12"/>
      <c r="F173" s="11"/>
    </row>
    <row r="174">
      <c r="A174" s="11"/>
      <c r="B174" s="11"/>
      <c r="C174" s="11"/>
      <c r="D174" s="11"/>
      <c r="E174" s="12"/>
      <c r="F174" s="11"/>
    </row>
    <row r="175">
      <c r="A175" s="11"/>
      <c r="B175" s="11"/>
      <c r="C175" s="11"/>
      <c r="D175" s="11"/>
      <c r="E175" s="12"/>
      <c r="F175" s="11"/>
    </row>
    <row r="176">
      <c r="A176" s="11"/>
      <c r="B176" s="11"/>
      <c r="C176" s="11"/>
      <c r="D176" s="11"/>
      <c r="E176" s="12"/>
      <c r="F176" s="11"/>
    </row>
    <row r="177">
      <c r="A177" s="11"/>
      <c r="B177" s="11"/>
      <c r="C177" s="11"/>
      <c r="D177" s="11"/>
      <c r="E177" s="12"/>
      <c r="F177" s="11"/>
    </row>
    <row r="178">
      <c r="A178" s="11"/>
      <c r="B178" s="11"/>
      <c r="C178" s="11"/>
      <c r="D178" s="11"/>
      <c r="E178" s="12"/>
      <c r="F178" s="11"/>
    </row>
    <row r="179">
      <c r="A179" s="11"/>
      <c r="B179" s="11"/>
      <c r="C179" s="11"/>
      <c r="D179" s="11"/>
      <c r="E179" s="12"/>
      <c r="F179" s="11"/>
    </row>
    <row r="180">
      <c r="A180" s="11"/>
      <c r="B180" s="11"/>
      <c r="C180" s="11"/>
      <c r="D180" s="11"/>
      <c r="E180" s="12"/>
      <c r="F180" s="11"/>
    </row>
    <row r="181">
      <c r="A181" s="11"/>
      <c r="B181" s="11"/>
      <c r="C181" s="11"/>
      <c r="D181" s="11"/>
      <c r="E181" s="12"/>
      <c r="F181" s="11"/>
    </row>
    <row r="182">
      <c r="A182" s="11"/>
      <c r="B182" s="11"/>
      <c r="C182" s="11"/>
      <c r="D182" s="11"/>
      <c r="E182" s="12"/>
      <c r="F182" s="11"/>
    </row>
    <row r="183">
      <c r="A183" s="11"/>
      <c r="B183" s="11"/>
      <c r="C183" s="11"/>
      <c r="D183" s="11"/>
      <c r="E183" s="12"/>
      <c r="F183" s="11"/>
    </row>
    <row r="184">
      <c r="A184" s="11"/>
      <c r="B184" s="11"/>
      <c r="C184" s="11"/>
      <c r="D184" s="11"/>
      <c r="E184" s="12"/>
      <c r="F184" s="11"/>
    </row>
    <row r="185">
      <c r="A185" s="11"/>
      <c r="B185" s="11"/>
      <c r="C185" s="11"/>
      <c r="D185" s="11"/>
      <c r="E185" s="12"/>
      <c r="F185" s="11"/>
    </row>
    <row r="186">
      <c r="A186" s="11"/>
      <c r="B186" s="11"/>
      <c r="C186" s="11"/>
      <c r="D186" s="11"/>
      <c r="E186" s="12"/>
      <c r="F186" s="11"/>
    </row>
    <row r="187">
      <c r="A187" s="11"/>
      <c r="B187" s="11"/>
      <c r="C187" s="11"/>
      <c r="D187" s="11"/>
      <c r="E187" s="12"/>
      <c r="F187" s="11"/>
    </row>
    <row r="188">
      <c r="A188" s="11"/>
      <c r="B188" s="11"/>
      <c r="C188" s="11"/>
      <c r="D188" s="11"/>
      <c r="E188" s="12"/>
      <c r="F188" s="11"/>
    </row>
    <row r="189">
      <c r="A189" s="11"/>
      <c r="B189" s="11"/>
      <c r="C189" s="11"/>
      <c r="D189" s="11"/>
      <c r="E189" s="12"/>
      <c r="F189" s="11"/>
    </row>
    <row r="190">
      <c r="A190" s="11"/>
      <c r="B190" s="11"/>
      <c r="C190" s="11"/>
      <c r="D190" s="11"/>
      <c r="E190" s="12"/>
      <c r="F190" s="11"/>
    </row>
    <row r="191">
      <c r="A191" s="11"/>
      <c r="B191" s="11"/>
      <c r="C191" s="11"/>
      <c r="D191" s="11"/>
      <c r="E191" s="12"/>
      <c r="F191" s="11"/>
    </row>
    <row r="192">
      <c r="A192" s="11"/>
      <c r="B192" s="11"/>
      <c r="C192" s="11"/>
      <c r="D192" s="11"/>
      <c r="E192" s="12"/>
      <c r="F192" s="11"/>
    </row>
    <row r="193">
      <c r="A193" s="11"/>
      <c r="B193" s="11"/>
      <c r="C193" s="11"/>
      <c r="D193" s="11"/>
      <c r="E193" s="12"/>
      <c r="F193" s="11"/>
    </row>
    <row r="194">
      <c r="A194" s="11"/>
      <c r="B194" s="11"/>
      <c r="C194" s="11"/>
      <c r="D194" s="11"/>
      <c r="E194" s="12"/>
      <c r="F194" s="11"/>
    </row>
    <row r="195">
      <c r="A195" s="11"/>
      <c r="B195" s="11"/>
      <c r="C195" s="11"/>
      <c r="D195" s="11"/>
      <c r="E195" s="12"/>
      <c r="F195" s="11"/>
    </row>
    <row r="196">
      <c r="A196" s="11"/>
      <c r="B196" s="11"/>
      <c r="C196" s="11"/>
      <c r="D196" s="11"/>
      <c r="E196" s="12"/>
      <c r="F196" s="11"/>
    </row>
    <row r="197">
      <c r="A197" s="11"/>
      <c r="B197" s="11"/>
      <c r="C197" s="11"/>
      <c r="D197" s="11"/>
      <c r="E197" s="12"/>
      <c r="F197" s="11"/>
    </row>
    <row r="198">
      <c r="A198" s="11"/>
      <c r="B198" s="11"/>
      <c r="C198" s="11"/>
      <c r="D198" s="11"/>
      <c r="E198" s="12"/>
      <c r="F198" s="11"/>
    </row>
    <row r="199">
      <c r="A199" s="11"/>
      <c r="B199" s="11"/>
      <c r="C199" s="11"/>
      <c r="D199" s="11"/>
      <c r="E199" s="12"/>
      <c r="F199" s="11"/>
    </row>
    <row r="200">
      <c r="A200" s="11"/>
      <c r="B200" s="11"/>
      <c r="C200" s="11"/>
      <c r="D200" s="11"/>
      <c r="E200" s="12"/>
      <c r="F200" s="11"/>
    </row>
    <row r="201">
      <c r="A201" s="11"/>
      <c r="B201" s="11"/>
      <c r="C201" s="11"/>
      <c r="D201" s="11"/>
      <c r="E201" s="12"/>
      <c r="F201" s="11"/>
    </row>
    <row r="202">
      <c r="A202" s="11"/>
      <c r="B202" s="11"/>
      <c r="C202" s="11"/>
      <c r="D202" s="11"/>
      <c r="E202" s="12"/>
      <c r="F202" s="11"/>
    </row>
    <row r="203">
      <c r="A203" s="11"/>
      <c r="B203" s="11"/>
      <c r="C203" s="11"/>
      <c r="D203" s="11"/>
      <c r="E203" s="12"/>
      <c r="F203" s="11"/>
    </row>
    <row r="204">
      <c r="A204" s="11"/>
      <c r="B204" s="11"/>
      <c r="C204" s="11"/>
      <c r="D204" s="11"/>
      <c r="E204" s="12"/>
      <c r="F204" s="11"/>
    </row>
    <row r="205">
      <c r="A205" s="11"/>
      <c r="B205" s="11"/>
      <c r="C205" s="11"/>
      <c r="D205" s="11"/>
      <c r="E205" s="12"/>
      <c r="F205" s="11"/>
    </row>
    <row r="206">
      <c r="A206" s="11"/>
      <c r="B206" s="11"/>
      <c r="C206" s="11"/>
      <c r="D206" s="11"/>
      <c r="E206" s="12"/>
      <c r="F206" s="11"/>
    </row>
    <row r="207">
      <c r="A207" s="11"/>
      <c r="B207" s="11"/>
      <c r="C207" s="11"/>
      <c r="D207" s="11"/>
      <c r="E207" s="12"/>
      <c r="F207" s="11"/>
    </row>
    <row r="208">
      <c r="A208" s="11"/>
      <c r="B208" s="11"/>
      <c r="C208" s="11"/>
      <c r="D208" s="11"/>
      <c r="E208" s="12"/>
      <c r="F208" s="11"/>
    </row>
    <row r="209">
      <c r="A209" s="11"/>
      <c r="B209" s="11"/>
      <c r="C209" s="11"/>
      <c r="D209" s="11"/>
      <c r="E209" s="12"/>
      <c r="F209" s="11"/>
    </row>
    <row r="210">
      <c r="A210" s="11"/>
      <c r="B210" s="11"/>
      <c r="C210" s="11"/>
      <c r="D210" s="11"/>
      <c r="E210" s="12"/>
      <c r="F210" s="11"/>
    </row>
    <row r="211">
      <c r="A211" s="11"/>
      <c r="B211" s="11"/>
      <c r="C211" s="11"/>
      <c r="D211" s="11"/>
      <c r="E211" s="12"/>
      <c r="F211" s="11"/>
    </row>
    <row r="212">
      <c r="A212" s="11"/>
      <c r="B212" s="11"/>
      <c r="C212" s="11"/>
      <c r="D212" s="11"/>
      <c r="E212" s="12"/>
      <c r="F212" s="11"/>
    </row>
    <row r="213">
      <c r="A213" s="11"/>
      <c r="B213" s="11"/>
      <c r="C213" s="11"/>
      <c r="D213" s="11"/>
      <c r="E213" s="12"/>
      <c r="F213" s="11"/>
    </row>
    <row r="214">
      <c r="A214" s="11"/>
      <c r="B214" s="11"/>
      <c r="C214" s="11"/>
      <c r="D214" s="11"/>
      <c r="E214" s="12"/>
      <c r="F214" s="11"/>
    </row>
    <row r="215">
      <c r="A215" s="11"/>
      <c r="B215" s="11"/>
      <c r="C215" s="11"/>
      <c r="D215" s="11"/>
      <c r="E215" s="12"/>
      <c r="F215" s="11"/>
    </row>
    <row r="216">
      <c r="A216" s="11"/>
      <c r="B216" s="11"/>
      <c r="C216" s="11"/>
      <c r="D216" s="11"/>
      <c r="E216" s="12"/>
      <c r="F216" s="11"/>
    </row>
    <row r="217">
      <c r="A217" s="11"/>
      <c r="B217" s="11"/>
      <c r="C217" s="11"/>
      <c r="D217" s="11"/>
      <c r="E217" s="12"/>
      <c r="F217" s="11"/>
    </row>
    <row r="218">
      <c r="A218" s="11"/>
      <c r="B218" s="11"/>
      <c r="C218" s="11"/>
      <c r="D218" s="11"/>
      <c r="E218" s="12"/>
      <c r="F218" s="11"/>
    </row>
    <row r="219">
      <c r="A219" s="11"/>
      <c r="B219" s="11"/>
      <c r="C219" s="11"/>
      <c r="D219" s="11"/>
      <c r="E219" s="12"/>
      <c r="F219" s="11"/>
    </row>
    <row r="220">
      <c r="A220" s="11"/>
      <c r="B220" s="11"/>
      <c r="C220" s="11"/>
      <c r="D220" s="11"/>
      <c r="E220" s="12"/>
      <c r="F220" s="11"/>
    </row>
    <row r="221">
      <c r="A221" s="11"/>
      <c r="B221" s="11"/>
      <c r="C221" s="11"/>
      <c r="D221" s="11"/>
      <c r="E221" s="12"/>
      <c r="F221" s="11"/>
    </row>
    <row r="222">
      <c r="A222" s="11"/>
      <c r="B222" s="11"/>
      <c r="C222" s="11"/>
      <c r="D222" s="11"/>
      <c r="E222" s="12"/>
      <c r="F222" s="11"/>
    </row>
    <row r="223">
      <c r="A223" s="11"/>
      <c r="B223" s="11"/>
      <c r="C223" s="11"/>
      <c r="D223" s="11"/>
      <c r="E223" s="12"/>
      <c r="F223" s="11"/>
    </row>
    <row r="224">
      <c r="A224" s="11"/>
      <c r="B224" s="11"/>
      <c r="C224" s="11"/>
      <c r="D224" s="11"/>
      <c r="E224" s="12"/>
      <c r="F224" s="11"/>
    </row>
    <row r="225">
      <c r="A225" s="11"/>
      <c r="B225" s="11"/>
      <c r="C225" s="11"/>
      <c r="D225" s="11"/>
      <c r="E225" s="12"/>
      <c r="F225" s="11"/>
    </row>
    <row r="226">
      <c r="A226" s="11"/>
      <c r="B226" s="11"/>
      <c r="C226" s="11"/>
      <c r="D226" s="11"/>
      <c r="E226" s="12"/>
      <c r="F226" s="11"/>
    </row>
    <row r="227">
      <c r="A227" s="11"/>
      <c r="B227" s="11"/>
      <c r="C227" s="11"/>
      <c r="D227" s="11"/>
      <c r="E227" s="12"/>
      <c r="F227" s="11"/>
    </row>
    <row r="228">
      <c r="A228" s="11"/>
      <c r="B228" s="11"/>
      <c r="C228" s="11"/>
      <c r="D228" s="11"/>
      <c r="E228" s="12"/>
      <c r="F228" s="11"/>
    </row>
    <row r="229">
      <c r="A229" s="11"/>
      <c r="B229" s="11"/>
      <c r="C229" s="11"/>
      <c r="D229" s="11"/>
      <c r="E229" s="12"/>
      <c r="F229" s="11"/>
    </row>
    <row r="230">
      <c r="A230" s="11"/>
      <c r="B230" s="11"/>
      <c r="C230" s="11"/>
      <c r="D230" s="11"/>
      <c r="E230" s="12"/>
      <c r="F230" s="11"/>
    </row>
    <row r="231">
      <c r="A231" s="11"/>
      <c r="B231" s="11"/>
      <c r="C231" s="11"/>
      <c r="D231" s="11"/>
      <c r="E231" s="12"/>
      <c r="F231" s="11"/>
    </row>
    <row r="232">
      <c r="A232" s="11"/>
      <c r="B232" s="11"/>
      <c r="C232" s="11"/>
      <c r="D232" s="11"/>
      <c r="E232" s="12"/>
      <c r="F232" s="11"/>
    </row>
    <row r="233">
      <c r="A233" s="11"/>
      <c r="B233" s="11"/>
      <c r="C233" s="11"/>
      <c r="D233" s="11"/>
      <c r="E233" s="12"/>
      <c r="F233" s="11"/>
    </row>
    <row r="234">
      <c r="A234" s="11"/>
      <c r="B234" s="11"/>
      <c r="C234" s="11"/>
      <c r="D234" s="11"/>
      <c r="E234" s="12"/>
      <c r="F234" s="11"/>
    </row>
    <row r="235">
      <c r="A235" s="11"/>
      <c r="B235" s="11"/>
      <c r="C235" s="11"/>
      <c r="D235" s="11"/>
      <c r="E235" s="12"/>
      <c r="F235" s="11"/>
    </row>
    <row r="236">
      <c r="A236" s="11"/>
      <c r="B236" s="11"/>
      <c r="C236" s="11"/>
      <c r="D236" s="11"/>
      <c r="E236" s="12"/>
      <c r="F236" s="11"/>
    </row>
    <row r="237">
      <c r="A237" s="11"/>
      <c r="B237" s="11"/>
      <c r="C237" s="11"/>
      <c r="D237" s="11"/>
      <c r="E237" s="12"/>
      <c r="F237" s="11"/>
    </row>
    <row r="238">
      <c r="A238" s="11"/>
      <c r="B238" s="11"/>
      <c r="C238" s="11"/>
      <c r="D238" s="11"/>
      <c r="E238" s="12"/>
      <c r="F238" s="11"/>
    </row>
    <row r="239">
      <c r="A239" s="11"/>
      <c r="B239" s="11"/>
      <c r="C239" s="11"/>
      <c r="D239" s="11"/>
      <c r="E239" s="12"/>
      <c r="F239" s="11"/>
    </row>
    <row r="240">
      <c r="A240" s="11"/>
      <c r="B240" s="11"/>
      <c r="C240" s="11"/>
      <c r="D240" s="11"/>
      <c r="E240" s="12"/>
      <c r="F240" s="11"/>
    </row>
    <row r="241">
      <c r="A241" s="11"/>
      <c r="B241" s="11"/>
      <c r="C241" s="11"/>
      <c r="D241" s="11"/>
      <c r="E241" s="12"/>
      <c r="F241" s="11"/>
    </row>
    <row r="242">
      <c r="A242" s="11"/>
      <c r="B242" s="11"/>
      <c r="C242" s="11"/>
      <c r="D242" s="11"/>
      <c r="E242" s="12"/>
      <c r="F242" s="11"/>
    </row>
    <row r="243">
      <c r="A243" s="11"/>
      <c r="B243" s="11"/>
      <c r="C243" s="11"/>
      <c r="D243" s="11"/>
      <c r="E243" s="12"/>
      <c r="F243" s="11"/>
    </row>
    <row r="244">
      <c r="A244" s="11"/>
      <c r="B244" s="11"/>
      <c r="C244" s="11"/>
      <c r="D244" s="11"/>
      <c r="E244" s="12"/>
      <c r="F244" s="11"/>
    </row>
    <row r="245">
      <c r="A245" s="11"/>
      <c r="B245" s="11"/>
      <c r="C245" s="11"/>
      <c r="D245" s="11"/>
      <c r="E245" s="12"/>
      <c r="F245" s="11"/>
    </row>
    <row r="246">
      <c r="A246" s="11"/>
      <c r="B246" s="11"/>
      <c r="C246" s="11"/>
      <c r="D246" s="11"/>
      <c r="E246" s="12"/>
      <c r="F246" s="11"/>
    </row>
    <row r="247">
      <c r="A247" s="11"/>
      <c r="B247" s="11"/>
      <c r="C247" s="11"/>
      <c r="D247" s="11"/>
      <c r="E247" s="12"/>
      <c r="F247" s="11"/>
    </row>
    <row r="248">
      <c r="A248" s="11"/>
      <c r="B248" s="11"/>
      <c r="C248" s="11"/>
      <c r="D248" s="11"/>
      <c r="E248" s="12"/>
      <c r="F248" s="11"/>
    </row>
    <row r="249">
      <c r="A249" s="11"/>
      <c r="B249" s="11"/>
      <c r="C249" s="11"/>
      <c r="D249" s="11"/>
      <c r="E249" s="12"/>
      <c r="F249" s="11"/>
    </row>
    <row r="250">
      <c r="A250" s="11"/>
      <c r="B250" s="11"/>
      <c r="C250" s="11"/>
      <c r="D250" s="11"/>
      <c r="E250" s="12"/>
      <c r="F250" s="11"/>
    </row>
    <row r="251">
      <c r="A251" s="11"/>
      <c r="B251" s="11"/>
      <c r="C251" s="11"/>
      <c r="D251" s="11"/>
      <c r="E251" s="12"/>
      <c r="F251" s="11"/>
    </row>
    <row r="252">
      <c r="A252" s="11"/>
      <c r="B252" s="11"/>
      <c r="C252" s="11"/>
      <c r="D252" s="11"/>
      <c r="E252" s="12"/>
      <c r="F252" s="11"/>
    </row>
    <row r="253">
      <c r="A253" s="11"/>
      <c r="B253" s="11"/>
      <c r="C253" s="11"/>
      <c r="D253" s="11"/>
      <c r="E253" s="12"/>
      <c r="F253" s="11"/>
    </row>
    <row r="254">
      <c r="A254" s="11"/>
      <c r="B254" s="11"/>
      <c r="C254" s="11"/>
      <c r="D254" s="11"/>
      <c r="E254" s="12"/>
      <c r="F254" s="11"/>
    </row>
    <row r="255">
      <c r="A255" s="11"/>
      <c r="B255" s="11"/>
      <c r="C255" s="11"/>
      <c r="D255" s="11"/>
      <c r="E255" s="12"/>
      <c r="F255" s="11"/>
    </row>
    <row r="256">
      <c r="A256" s="11"/>
      <c r="B256" s="11"/>
      <c r="C256" s="11"/>
      <c r="D256" s="11"/>
      <c r="E256" s="12"/>
      <c r="F256" s="11"/>
    </row>
    <row r="257">
      <c r="A257" s="11"/>
      <c r="B257" s="11"/>
      <c r="C257" s="11"/>
      <c r="D257" s="11"/>
      <c r="E257" s="12"/>
      <c r="F257" s="11"/>
    </row>
    <row r="258">
      <c r="A258" s="11"/>
      <c r="B258" s="11"/>
      <c r="C258" s="11"/>
      <c r="D258" s="11"/>
      <c r="E258" s="12"/>
      <c r="F258" s="11"/>
    </row>
    <row r="259">
      <c r="A259" s="11"/>
      <c r="B259" s="11"/>
      <c r="C259" s="11"/>
      <c r="D259" s="11"/>
      <c r="E259" s="12"/>
      <c r="F259" s="11"/>
    </row>
    <row r="260">
      <c r="A260" s="11"/>
      <c r="B260" s="11"/>
      <c r="C260" s="11"/>
      <c r="D260" s="11"/>
      <c r="E260" s="12"/>
      <c r="F260" s="11"/>
    </row>
    <row r="261">
      <c r="A261" s="11"/>
      <c r="B261" s="11"/>
      <c r="C261" s="11"/>
      <c r="D261" s="11"/>
      <c r="E261" s="12"/>
      <c r="F261" s="11"/>
    </row>
    <row r="262">
      <c r="A262" s="11"/>
      <c r="B262" s="11"/>
      <c r="C262" s="11"/>
      <c r="D262" s="11"/>
      <c r="E262" s="12"/>
      <c r="F262" s="11"/>
    </row>
    <row r="263">
      <c r="A263" s="11"/>
      <c r="B263" s="11"/>
      <c r="C263" s="11"/>
      <c r="D263" s="11"/>
      <c r="E263" s="12"/>
      <c r="F263" s="11"/>
    </row>
    <row r="264">
      <c r="A264" s="11"/>
      <c r="B264" s="11"/>
      <c r="C264" s="11"/>
      <c r="D264" s="11"/>
      <c r="E264" s="12"/>
      <c r="F264" s="11"/>
    </row>
    <row r="265">
      <c r="A265" s="11"/>
      <c r="B265" s="11"/>
      <c r="C265" s="11"/>
      <c r="D265" s="11"/>
      <c r="E265" s="12"/>
      <c r="F265" s="11"/>
    </row>
    <row r="266">
      <c r="A266" s="11"/>
      <c r="B266" s="11"/>
      <c r="C266" s="11"/>
      <c r="D266" s="11"/>
      <c r="E266" s="12"/>
      <c r="F266" s="11"/>
    </row>
    <row r="267">
      <c r="A267" s="11"/>
      <c r="B267" s="11"/>
      <c r="C267" s="11"/>
      <c r="D267" s="11"/>
      <c r="E267" s="12"/>
      <c r="F267" s="11"/>
    </row>
    <row r="268">
      <c r="A268" s="11"/>
      <c r="B268" s="11"/>
      <c r="C268" s="11"/>
      <c r="D268" s="11"/>
      <c r="E268" s="12"/>
      <c r="F268" s="11"/>
    </row>
    <row r="269">
      <c r="A269" s="11"/>
      <c r="B269" s="11"/>
      <c r="C269" s="11"/>
      <c r="D269" s="11"/>
      <c r="E269" s="12"/>
      <c r="F269" s="11"/>
    </row>
    <row r="270">
      <c r="A270" s="11"/>
      <c r="B270" s="11"/>
      <c r="C270" s="11"/>
      <c r="D270" s="11"/>
      <c r="E270" s="12"/>
      <c r="F270" s="11"/>
    </row>
    <row r="271">
      <c r="A271" s="11"/>
      <c r="B271" s="11"/>
      <c r="C271" s="11"/>
      <c r="D271" s="11"/>
      <c r="E271" s="12"/>
      <c r="F271" s="11"/>
    </row>
    <row r="272">
      <c r="A272" s="11"/>
      <c r="B272" s="11"/>
      <c r="C272" s="11"/>
      <c r="D272" s="11"/>
      <c r="E272" s="12"/>
      <c r="F272" s="11"/>
    </row>
    <row r="273">
      <c r="A273" s="11"/>
      <c r="B273" s="11"/>
      <c r="C273" s="11"/>
      <c r="D273" s="11"/>
      <c r="E273" s="12"/>
      <c r="F273" s="11"/>
    </row>
    <row r="274">
      <c r="A274" s="11"/>
      <c r="B274" s="11"/>
      <c r="C274" s="11"/>
      <c r="D274" s="11"/>
      <c r="E274" s="12"/>
      <c r="F274" s="11"/>
    </row>
    <row r="275">
      <c r="A275" s="11"/>
      <c r="B275" s="11"/>
      <c r="C275" s="11"/>
      <c r="D275" s="11"/>
      <c r="E275" s="12"/>
      <c r="F275" s="11"/>
    </row>
    <row r="276">
      <c r="A276" s="11"/>
      <c r="B276" s="11"/>
      <c r="C276" s="11"/>
      <c r="D276" s="11"/>
      <c r="E276" s="12"/>
      <c r="F276" s="11"/>
    </row>
    <row r="277">
      <c r="A277" s="11"/>
      <c r="B277" s="11"/>
      <c r="C277" s="11"/>
      <c r="D277" s="11"/>
      <c r="E277" s="12"/>
      <c r="F277" s="11"/>
    </row>
    <row r="278">
      <c r="A278" s="11"/>
      <c r="B278" s="11"/>
      <c r="C278" s="11"/>
      <c r="D278" s="11"/>
      <c r="E278" s="12"/>
      <c r="F278" s="11"/>
    </row>
    <row r="279">
      <c r="A279" s="11"/>
      <c r="B279" s="11"/>
      <c r="C279" s="11"/>
      <c r="D279" s="11"/>
      <c r="E279" s="12"/>
      <c r="F279" s="11"/>
    </row>
    <row r="280">
      <c r="A280" s="11"/>
      <c r="B280" s="11"/>
      <c r="C280" s="11"/>
      <c r="D280" s="11"/>
      <c r="E280" s="12"/>
      <c r="F280" s="11"/>
    </row>
    <row r="281">
      <c r="A281" s="11"/>
      <c r="B281" s="11"/>
      <c r="C281" s="11"/>
      <c r="D281" s="11"/>
      <c r="E281" s="12"/>
      <c r="F281" s="11"/>
    </row>
    <row r="282">
      <c r="A282" s="11"/>
      <c r="B282" s="11"/>
      <c r="C282" s="11"/>
      <c r="D282" s="11"/>
      <c r="E282" s="12"/>
      <c r="F282" s="11"/>
    </row>
    <row r="283">
      <c r="A283" s="11"/>
      <c r="B283" s="11"/>
      <c r="C283" s="11"/>
      <c r="D283" s="11"/>
      <c r="E283" s="12"/>
      <c r="F283" s="11"/>
    </row>
    <row r="284">
      <c r="A284" s="11"/>
      <c r="B284" s="11"/>
      <c r="C284" s="11"/>
      <c r="D284" s="11"/>
      <c r="E284" s="12"/>
      <c r="F284" s="11"/>
    </row>
    <row r="285">
      <c r="A285" s="11"/>
      <c r="B285" s="11"/>
      <c r="C285" s="11"/>
      <c r="D285" s="11"/>
      <c r="E285" s="12"/>
      <c r="F285" s="11"/>
    </row>
    <row r="286">
      <c r="A286" s="11"/>
      <c r="B286" s="11"/>
      <c r="C286" s="11"/>
      <c r="D286" s="11"/>
      <c r="E286" s="12"/>
      <c r="F286" s="11"/>
    </row>
    <row r="287">
      <c r="A287" s="11"/>
      <c r="B287" s="11"/>
      <c r="C287" s="11"/>
      <c r="D287" s="11"/>
      <c r="E287" s="12"/>
      <c r="F287" s="11"/>
    </row>
    <row r="288">
      <c r="A288" s="11"/>
      <c r="B288" s="11"/>
      <c r="C288" s="11"/>
      <c r="D288" s="11"/>
      <c r="E288" s="12"/>
      <c r="F288" s="11"/>
    </row>
    <row r="289">
      <c r="A289" s="11"/>
      <c r="B289" s="11"/>
      <c r="C289" s="11"/>
      <c r="D289" s="11"/>
      <c r="E289" s="12"/>
      <c r="F289" s="11"/>
    </row>
    <row r="290">
      <c r="A290" s="11"/>
      <c r="B290" s="11"/>
      <c r="C290" s="11"/>
      <c r="D290" s="11"/>
      <c r="E290" s="12"/>
      <c r="F290" s="11"/>
    </row>
    <row r="291">
      <c r="A291" s="11"/>
      <c r="B291" s="11"/>
      <c r="C291" s="11"/>
      <c r="D291" s="11"/>
      <c r="E291" s="12"/>
      <c r="F291" s="11"/>
    </row>
    <row r="292">
      <c r="A292" s="11"/>
      <c r="B292" s="11"/>
      <c r="C292" s="11"/>
      <c r="D292" s="11"/>
      <c r="E292" s="12"/>
      <c r="F292" s="11"/>
    </row>
    <row r="293">
      <c r="A293" s="11"/>
      <c r="B293" s="11"/>
      <c r="C293" s="11"/>
      <c r="D293" s="11"/>
      <c r="E293" s="12"/>
      <c r="F293" s="11"/>
    </row>
    <row r="294">
      <c r="A294" s="11"/>
      <c r="B294" s="11"/>
      <c r="C294" s="11"/>
      <c r="D294" s="11"/>
      <c r="E294" s="12"/>
      <c r="F294" s="11"/>
    </row>
    <row r="295">
      <c r="A295" s="11"/>
      <c r="B295" s="11"/>
      <c r="C295" s="11"/>
      <c r="D295" s="11"/>
      <c r="E295" s="12"/>
      <c r="F295" s="11"/>
    </row>
    <row r="296">
      <c r="A296" s="11"/>
      <c r="B296" s="11"/>
      <c r="C296" s="11"/>
      <c r="D296" s="11"/>
      <c r="E296" s="12"/>
      <c r="F296" s="11"/>
    </row>
    <row r="297">
      <c r="A297" s="11"/>
      <c r="B297" s="11"/>
      <c r="C297" s="11"/>
      <c r="D297" s="11"/>
      <c r="E297" s="12"/>
      <c r="F297" s="11"/>
    </row>
    <row r="298">
      <c r="A298" s="11"/>
      <c r="B298" s="11"/>
      <c r="C298" s="11"/>
      <c r="D298" s="11"/>
      <c r="E298" s="12"/>
      <c r="F298" s="11"/>
    </row>
    <row r="299">
      <c r="A299" s="11"/>
      <c r="B299" s="11"/>
      <c r="C299" s="11"/>
      <c r="D299" s="11"/>
      <c r="E299" s="12"/>
      <c r="F299" s="11"/>
    </row>
    <row r="300">
      <c r="A300" s="11"/>
      <c r="B300" s="11"/>
      <c r="C300" s="11"/>
      <c r="D300" s="11"/>
      <c r="E300" s="12"/>
      <c r="F300" s="11"/>
    </row>
    <row r="301">
      <c r="A301" s="11"/>
      <c r="B301" s="11"/>
      <c r="C301" s="11"/>
      <c r="D301" s="11"/>
      <c r="E301" s="12"/>
      <c r="F301" s="11"/>
    </row>
    <row r="302">
      <c r="A302" s="11"/>
      <c r="B302" s="11"/>
      <c r="C302" s="11"/>
      <c r="D302" s="11"/>
      <c r="E302" s="12"/>
      <c r="F302" s="11"/>
    </row>
    <row r="303">
      <c r="A303" s="11"/>
      <c r="B303" s="11"/>
      <c r="C303" s="11"/>
      <c r="D303" s="11"/>
      <c r="E303" s="12"/>
      <c r="F303" s="11"/>
    </row>
    <row r="304">
      <c r="A304" s="11"/>
      <c r="B304" s="11"/>
      <c r="C304" s="11"/>
      <c r="D304" s="11"/>
      <c r="E304" s="12"/>
      <c r="F304" s="11"/>
    </row>
    <row r="305">
      <c r="A305" s="11"/>
      <c r="B305" s="11"/>
      <c r="C305" s="11"/>
      <c r="D305" s="11"/>
      <c r="E305" s="12"/>
      <c r="F305" s="11"/>
    </row>
    <row r="306">
      <c r="A306" s="11"/>
      <c r="B306" s="11"/>
      <c r="C306" s="11"/>
      <c r="D306" s="11"/>
      <c r="E306" s="12"/>
      <c r="F306" s="11"/>
    </row>
    <row r="307">
      <c r="A307" s="11"/>
      <c r="B307" s="11"/>
      <c r="C307" s="11"/>
      <c r="D307" s="11"/>
      <c r="E307" s="12"/>
      <c r="F307" s="11"/>
    </row>
    <row r="308">
      <c r="A308" s="11"/>
      <c r="B308" s="11"/>
      <c r="C308" s="11"/>
      <c r="D308" s="11"/>
      <c r="E308" s="12"/>
      <c r="F308" s="11"/>
    </row>
    <row r="309">
      <c r="A309" s="11"/>
      <c r="B309" s="11"/>
      <c r="C309" s="11"/>
      <c r="D309" s="11"/>
      <c r="E309" s="12"/>
      <c r="F309" s="11"/>
    </row>
    <row r="310">
      <c r="A310" s="11"/>
      <c r="B310" s="11"/>
      <c r="C310" s="11"/>
      <c r="D310" s="11"/>
      <c r="E310" s="12"/>
      <c r="F310" s="11"/>
    </row>
    <row r="311">
      <c r="A311" s="11"/>
      <c r="B311" s="11"/>
      <c r="C311" s="11"/>
      <c r="D311" s="11"/>
      <c r="E311" s="12"/>
      <c r="F311" s="11"/>
    </row>
    <row r="312">
      <c r="A312" s="11"/>
      <c r="B312" s="11"/>
      <c r="C312" s="11"/>
      <c r="D312" s="11"/>
      <c r="E312" s="12"/>
      <c r="F312" s="11"/>
    </row>
    <row r="313">
      <c r="A313" s="11"/>
      <c r="B313" s="11"/>
      <c r="C313" s="11"/>
      <c r="D313" s="11"/>
      <c r="E313" s="12"/>
      <c r="F313" s="11"/>
    </row>
    <row r="314">
      <c r="A314" s="11"/>
      <c r="B314" s="11"/>
      <c r="C314" s="11"/>
      <c r="D314" s="11"/>
      <c r="E314" s="12"/>
      <c r="F314" s="11"/>
    </row>
    <row r="315">
      <c r="A315" s="11"/>
      <c r="B315" s="11"/>
      <c r="C315" s="11"/>
      <c r="D315" s="11"/>
      <c r="E315" s="12"/>
      <c r="F315" s="11"/>
    </row>
    <row r="316">
      <c r="A316" s="11"/>
      <c r="B316" s="11"/>
      <c r="C316" s="11"/>
      <c r="D316" s="11"/>
      <c r="E316" s="12"/>
      <c r="F316" s="11"/>
    </row>
    <row r="317">
      <c r="A317" s="11"/>
      <c r="B317" s="11"/>
      <c r="C317" s="11"/>
      <c r="D317" s="11"/>
      <c r="E317" s="12"/>
      <c r="F317" s="11"/>
    </row>
    <row r="318">
      <c r="A318" s="11"/>
      <c r="B318" s="11"/>
      <c r="C318" s="11"/>
      <c r="D318" s="11"/>
      <c r="E318" s="12"/>
      <c r="F318" s="11"/>
    </row>
    <row r="319">
      <c r="A319" s="11"/>
      <c r="B319" s="11"/>
      <c r="C319" s="11"/>
      <c r="D319" s="11"/>
      <c r="E319" s="12"/>
      <c r="F319" s="11"/>
    </row>
    <row r="320">
      <c r="A320" s="11"/>
      <c r="B320" s="11"/>
      <c r="C320" s="11"/>
      <c r="D320" s="11"/>
      <c r="E320" s="12"/>
      <c r="F320" s="11"/>
    </row>
    <row r="321">
      <c r="A321" s="11"/>
      <c r="B321" s="11"/>
      <c r="C321" s="11"/>
      <c r="D321" s="11"/>
      <c r="E321" s="12"/>
      <c r="F321" s="11"/>
    </row>
    <row r="322">
      <c r="A322" s="11"/>
      <c r="B322" s="11"/>
      <c r="C322" s="11"/>
      <c r="D322" s="11"/>
      <c r="E322" s="12"/>
      <c r="F322" s="11"/>
    </row>
    <row r="323">
      <c r="A323" s="11"/>
      <c r="B323" s="11"/>
      <c r="C323" s="11"/>
      <c r="D323" s="11"/>
      <c r="E323" s="12"/>
      <c r="F323" s="11"/>
    </row>
    <row r="324">
      <c r="A324" s="11"/>
      <c r="B324" s="11"/>
      <c r="C324" s="11"/>
      <c r="D324" s="11"/>
      <c r="E324" s="12"/>
      <c r="F324" s="11"/>
    </row>
    <row r="325">
      <c r="A325" s="11"/>
      <c r="B325" s="11"/>
      <c r="C325" s="11"/>
      <c r="D325" s="11"/>
      <c r="E325" s="12"/>
      <c r="F325" s="11"/>
    </row>
    <row r="326">
      <c r="A326" s="11"/>
      <c r="B326" s="11"/>
      <c r="C326" s="11"/>
      <c r="D326" s="11"/>
      <c r="E326" s="12"/>
      <c r="F326" s="11"/>
    </row>
    <row r="327">
      <c r="A327" s="11"/>
      <c r="B327" s="11"/>
      <c r="C327" s="11"/>
      <c r="D327" s="11"/>
      <c r="E327" s="12"/>
      <c r="F327" s="11"/>
    </row>
    <row r="328">
      <c r="A328" s="11"/>
      <c r="B328" s="11"/>
      <c r="C328" s="11"/>
      <c r="D328" s="11"/>
      <c r="E328" s="12"/>
      <c r="F328" s="11"/>
    </row>
    <row r="329">
      <c r="A329" s="11"/>
      <c r="B329" s="11"/>
      <c r="C329" s="11"/>
      <c r="D329" s="11"/>
      <c r="E329" s="12"/>
      <c r="F329" s="11"/>
    </row>
    <row r="330">
      <c r="A330" s="11"/>
      <c r="B330" s="11"/>
      <c r="C330" s="11"/>
      <c r="D330" s="11"/>
      <c r="E330" s="12"/>
      <c r="F330" s="11"/>
    </row>
    <row r="331">
      <c r="A331" s="11"/>
      <c r="B331" s="11"/>
      <c r="C331" s="11"/>
      <c r="D331" s="11"/>
      <c r="E331" s="12"/>
      <c r="F331" s="11"/>
    </row>
    <row r="332">
      <c r="A332" s="11"/>
      <c r="B332" s="11"/>
      <c r="C332" s="11"/>
      <c r="D332" s="11"/>
      <c r="E332" s="12"/>
      <c r="F332" s="11"/>
    </row>
    <row r="333">
      <c r="A333" s="11"/>
      <c r="B333" s="11"/>
      <c r="C333" s="11"/>
      <c r="D333" s="11"/>
      <c r="E333" s="12"/>
      <c r="F333" s="11"/>
    </row>
    <row r="334">
      <c r="A334" s="11"/>
      <c r="B334" s="11"/>
      <c r="C334" s="11"/>
      <c r="D334" s="11"/>
      <c r="E334" s="12"/>
      <c r="F334" s="11"/>
    </row>
    <row r="335">
      <c r="A335" s="11"/>
      <c r="B335" s="11"/>
      <c r="C335" s="11"/>
      <c r="D335" s="11"/>
      <c r="E335" s="12"/>
      <c r="F335" s="11"/>
    </row>
    <row r="336">
      <c r="A336" s="11"/>
      <c r="B336" s="11"/>
      <c r="C336" s="11"/>
      <c r="D336" s="11"/>
      <c r="E336" s="12"/>
      <c r="F336" s="11"/>
    </row>
    <row r="337">
      <c r="A337" s="11"/>
      <c r="B337" s="11"/>
      <c r="C337" s="11"/>
      <c r="D337" s="11"/>
      <c r="E337" s="12"/>
      <c r="F337" s="11"/>
    </row>
    <row r="338">
      <c r="A338" s="11"/>
      <c r="B338" s="11"/>
      <c r="C338" s="11"/>
      <c r="D338" s="11"/>
      <c r="E338" s="12"/>
      <c r="F338" s="11"/>
    </row>
    <row r="339">
      <c r="A339" s="11"/>
      <c r="B339" s="11"/>
      <c r="C339" s="11"/>
      <c r="D339" s="11"/>
      <c r="E339" s="12"/>
      <c r="F339" s="11"/>
    </row>
    <row r="340">
      <c r="A340" s="11"/>
      <c r="B340" s="11"/>
      <c r="C340" s="11"/>
      <c r="D340" s="11"/>
      <c r="E340" s="12"/>
      <c r="F340" s="11"/>
    </row>
    <row r="341">
      <c r="A341" s="11"/>
      <c r="B341" s="11"/>
      <c r="C341" s="11"/>
      <c r="D341" s="11"/>
      <c r="E341" s="12"/>
      <c r="F341" s="11"/>
    </row>
    <row r="342">
      <c r="A342" s="11"/>
      <c r="B342" s="11"/>
      <c r="C342" s="11"/>
      <c r="D342" s="11"/>
      <c r="E342" s="12"/>
      <c r="F342" s="11"/>
    </row>
    <row r="343">
      <c r="A343" s="11"/>
      <c r="B343" s="11"/>
      <c r="C343" s="11"/>
      <c r="D343" s="11"/>
      <c r="E343" s="12"/>
      <c r="F343" s="11"/>
    </row>
    <row r="344">
      <c r="A344" s="11"/>
      <c r="B344" s="11"/>
      <c r="C344" s="11"/>
      <c r="D344" s="11"/>
      <c r="E344" s="12"/>
      <c r="F344" s="11"/>
    </row>
    <row r="345">
      <c r="A345" s="11"/>
      <c r="B345" s="11"/>
      <c r="C345" s="11"/>
      <c r="D345" s="11"/>
      <c r="E345" s="12"/>
      <c r="F345" s="11"/>
    </row>
    <row r="346">
      <c r="A346" s="11"/>
      <c r="B346" s="11"/>
      <c r="C346" s="11"/>
      <c r="D346" s="11"/>
      <c r="E346" s="12"/>
      <c r="F346" s="11"/>
    </row>
    <row r="347">
      <c r="A347" s="11"/>
      <c r="B347" s="11"/>
      <c r="C347" s="11"/>
      <c r="D347" s="11"/>
      <c r="E347" s="12"/>
      <c r="F347" s="11"/>
    </row>
    <row r="348">
      <c r="A348" s="11"/>
      <c r="B348" s="11"/>
      <c r="C348" s="11"/>
      <c r="D348" s="11"/>
      <c r="E348" s="12"/>
      <c r="F348" s="11"/>
    </row>
    <row r="349">
      <c r="A349" s="11"/>
      <c r="B349" s="11"/>
      <c r="C349" s="11"/>
      <c r="D349" s="11"/>
      <c r="E349" s="12"/>
      <c r="F349" s="11"/>
    </row>
    <row r="350">
      <c r="A350" s="11"/>
      <c r="B350" s="11"/>
      <c r="C350" s="11"/>
      <c r="D350" s="11"/>
      <c r="E350" s="12"/>
      <c r="F350" s="11"/>
    </row>
    <row r="351">
      <c r="A351" s="11"/>
      <c r="B351" s="11"/>
      <c r="C351" s="11"/>
      <c r="D351" s="11"/>
      <c r="E351" s="12"/>
      <c r="F351" s="11"/>
    </row>
    <row r="352">
      <c r="A352" s="11"/>
      <c r="B352" s="11"/>
      <c r="C352" s="11"/>
      <c r="D352" s="11"/>
      <c r="E352" s="12"/>
      <c r="F352" s="11"/>
    </row>
    <row r="353">
      <c r="A353" s="11"/>
      <c r="B353" s="11"/>
      <c r="C353" s="11"/>
      <c r="D353" s="11"/>
      <c r="E353" s="12"/>
      <c r="F353" s="11"/>
    </row>
    <row r="354">
      <c r="A354" s="11"/>
      <c r="B354" s="11"/>
      <c r="C354" s="11"/>
      <c r="D354" s="11"/>
      <c r="E354" s="12"/>
      <c r="F354" s="11"/>
    </row>
    <row r="355">
      <c r="A355" s="11"/>
      <c r="B355" s="11"/>
      <c r="C355" s="11"/>
      <c r="D355" s="11"/>
      <c r="E355" s="12"/>
      <c r="F355" s="11"/>
    </row>
    <row r="356">
      <c r="A356" s="11"/>
      <c r="B356" s="11"/>
      <c r="C356" s="11"/>
      <c r="D356" s="11"/>
      <c r="E356" s="12"/>
      <c r="F356" s="11"/>
    </row>
    <row r="357">
      <c r="A357" s="11"/>
      <c r="B357" s="11"/>
      <c r="C357" s="11"/>
      <c r="D357" s="11"/>
      <c r="E357" s="12"/>
      <c r="F357" s="11"/>
    </row>
    <row r="358">
      <c r="A358" s="11"/>
      <c r="B358" s="11"/>
      <c r="C358" s="11"/>
      <c r="D358" s="11"/>
      <c r="E358" s="12"/>
      <c r="F358" s="11"/>
    </row>
    <row r="359">
      <c r="A359" s="11"/>
      <c r="B359" s="11"/>
      <c r="C359" s="11"/>
      <c r="D359" s="11"/>
      <c r="E359" s="12"/>
      <c r="F359" s="11"/>
    </row>
    <row r="360">
      <c r="A360" s="11"/>
      <c r="B360" s="11"/>
      <c r="C360" s="11"/>
      <c r="D360" s="11"/>
      <c r="E360" s="12"/>
      <c r="F360" s="11"/>
    </row>
    <row r="361">
      <c r="A361" s="11"/>
      <c r="B361" s="11"/>
      <c r="C361" s="11"/>
      <c r="D361" s="11"/>
      <c r="E361" s="12"/>
      <c r="F361" s="11"/>
    </row>
    <row r="362">
      <c r="A362" s="11"/>
      <c r="B362" s="11"/>
      <c r="C362" s="11"/>
      <c r="D362" s="11"/>
      <c r="E362" s="12"/>
      <c r="F362" s="11"/>
    </row>
    <row r="363">
      <c r="A363" s="11"/>
      <c r="B363" s="11"/>
      <c r="C363" s="11"/>
      <c r="D363" s="11"/>
      <c r="E363" s="12"/>
      <c r="F363" s="11"/>
    </row>
    <row r="364">
      <c r="A364" s="11"/>
      <c r="B364" s="11"/>
      <c r="C364" s="11"/>
      <c r="D364" s="11"/>
      <c r="E364" s="12"/>
      <c r="F364" s="11"/>
    </row>
    <row r="365">
      <c r="A365" s="11"/>
      <c r="B365" s="11"/>
      <c r="C365" s="11"/>
      <c r="D365" s="11"/>
      <c r="E365" s="12"/>
      <c r="F365" s="11"/>
    </row>
    <row r="366">
      <c r="A366" s="11"/>
      <c r="B366" s="11"/>
      <c r="C366" s="11"/>
      <c r="D366" s="11"/>
      <c r="E366" s="12"/>
      <c r="F366" s="11"/>
    </row>
    <row r="367">
      <c r="A367" s="11"/>
      <c r="B367" s="11"/>
      <c r="C367" s="11"/>
      <c r="D367" s="11"/>
      <c r="E367" s="12"/>
      <c r="F367" s="11"/>
    </row>
    <row r="368">
      <c r="A368" s="11"/>
      <c r="B368" s="11"/>
      <c r="C368" s="11"/>
      <c r="D368" s="11"/>
      <c r="E368" s="12"/>
      <c r="F368" s="11"/>
    </row>
    <row r="369">
      <c r="A369" s="11"/>
      <c r="B369" s="11"/>
      <c r="C369" s="11"/>
      <c r="D369" s="11"/>
      <c r="E369" s="12"/>
      <c r="F369" s="11"/>
    </row>
    <row r="370">
      <c r="A370" s="11"/>
      <c r="B370" s="11"/>
      <c r="C370" s="11"/>
      <c r="D370" s="11"/>
      <c r="E370" s="12"/>
      <c r="F370" s="11"/>
    </row>
    <row r="371">
      <c r="A371" s="11"/>
      <c r="B371" s="11"/>
      <c r="C371" s="11"/>
      <c r="D371" s="11"/>
      <c r="E371" s="12"/>
      <c r="F371" s="11"/>
    </row>
    <row r="372">
      <c r="A372" s="11"/>
      <c r="B372" s="11"/>
      <c r="C372" s="11"/>
      <c r="D372" s="11"/>
      <c r="E372" s="12"/>
      <c r="F372" s="11"/>
    </row>
    <row r="373">
      <c r="A373" s="11"/>
      <c r="B373" s="11"/>
      <c r="C373" s="11"/>
      <c r="D373" s="11"/>
      <c r="E373" s="12"/>
      <c r="F373" s="11"/>
    </row>
    <row r="374">
      <c r="A374" s="11"/>
      <c r="B374" s="11"/>
      <c r="C374" s="11"/>
      <c r="D374" s="11"/>
      <c r="E374" s="12"/>
      <c r="F374" s="11"/>
    </row>
    <row r="375">
      <c r="A375" s="11"/>
      <c r="B375" s="11"/>
      <c r="C375" s="11"/>
      <c r="D375" s="11"/>
      <c r="E375" s="12"/>
      <c r="F375" s="11"/>
    </row>
    <row r="376">
      <c r="A376" s="11"/>
      <c r="B376" s="11"/>
      <c r="C376" s="11"/>
      <c r="D376" s="11"/>
      <c r="E376" s="12"/>
      <c r="F376" s="11"/>
    </row>
    <row r="377">
      <c r="A377" s="11"/>
      <c r="B377" s="11"/>
      <c r="C377" s="11"/>
      <c r="D377" s="11"/>
      <c r="E377" s="12"/>
      <c r="F377" s="11"/>
    </row>
    <row r="378">
      <c r="A378" s="11"/>
      <c r="B378" s="11"/>
      <c r="C378" s="11"/>
      <c r="D378" s="11"/>
      <c r="E378" s="12"/>
      <c r="F378" s="11"/>
    </row>
    <row r="379">
      <c r="A379" s="11"/>
      <c r="B379" s="11"/>
      <c r="C379" s="11"/>
      <c r="D379" s="11"/>
      <c r="E379" s="12"/>
      <c r="F379" s="11"/>
    </row>
    <row r="380">
      <c r="A380" s="11"/>
      <c r="B380" s="11"/>
      <c r="C380" s="11"/>
      <c r="D380" s="11"/>
      <c r="E380" s="12"/>
      <c r="F380" s="11"/>
    </row>
    <row r="381">
      <c r="A381" s="11"/>
      <c r="B381" s="11"/>
      <c r="C381" s="11"/>
      <c r="D381" s="11"/>
      <c r="E381" s="12"/>
      <c r="F381" s="11"/>
    </row>
    <row r="382">
      <c r="A382" s="11"/>
      <c r="B382" s="11"/>
      <c r="C382" s="11"/>
      <c r="D382" s="11"/>
      <c r="E382" s="12"/>
      <c r="F382" s="11"/>
    </row>
    <row r="383">
      <c r="A383" s="11"/>
      <c r="B383" s="11"/>
      <c r="C383" s="11"/>
      <c r="D383" s="11"/>
      <c r="E383" s="12"/>
      <c r="F383" s="11"/>
    </row>
    <row r="384">
      <c r="A384" s="11"/>
      <c r="B384" s="11"/>
      <c r="C384" s="11"/>
      <c r="D384" s="11"/>
      <c r="E384" s="12"/>
      <c r="F384" s="11"/>
    </row>
    <row r="385">
      <c r="A385" s="11"/>
      <c r="B385" s="11"/>
      <c r="C385" s="11"/>
      <c r="D385" s="11"/>
      <c r="E385" s="12"/>
      <c r="F385" s="11"/>
    </row>
    <row r="386">
      <c r="A386" s="11"/>
      <c r="B386" s="11"/>
      <c r="C386" s="11"/>
      <c r="D386" s="11"/>
      <c r="E386" s="12"/>
      <c r="F386" s="11"/>
    </row>
    <row r="387">
      <c r="A387" s="11"/>
      <c r="B387" s="11"/>
      <c r="C387" s="11"/>
      <c r="D387" s="11"/>
      <c r="E387" s="12"/>
      <c r="F387" s="11"/>
    </row>
    <row r="388">
      <c r="A388" s="11"/>
      <c r="B388" s="11"/>
      <c r="C388" s="11"/>
      <c r="D388" s="11"/>
      <c r="E388" s="12"/>
      <c r="F388" s="11"/>
    </row>
    <row r="389">
      <c r="A389" s="11"/>
      <c r="B389" s="11"/>
      <c r="C389" s="11"/>
      <c r="D389" s="11"/>
      <c r="E389" s="12"/>
      <c r="F389" s="11"/>
    </row>
    <row r="390">
      <c r="A390" s="11"/>
      <c r="B390" s="11"/>
      <c r="C390" s="11"/>
      <c r="D390" s="11"/>
      <c r="E390" s="12"/>
      <c r="F390" s="11"/>
    </row>
    <row r="391">
      <c r="A391" s="11"/>
      <c r="B391" s="11"/>
      <c r="C391" s="11"/>
      <c r="D391" s="11"/>
      <c r="E391" s="12"/>
      <c r="F391" s="11"/>
    </row>
    <row r="392">
      <c r="A392" s="11"/>
      <c r="B392" s="11"/>
      <c r="C392" s="11"/>
      <c r="D392" s="11"/>
      <c r="E392" s="12"/>
      <c r="F392" s="11"/>
    </row>
    <row r="393">
      <c r="A393" s="11"/>
      <c r="B393" s="11"/>
      <c r="C393" s="11"/>
      <c r="D393" s="11"/>
      <c r="E393" s="12"/>
      <c r="F393" s="11"/>
    </row>
    <row r="394">
      <c r="A394" s="11"/>
      <c r="B394" s="11"/>
      <c r="C394" s="11"/>
      <c r="D394" s="11"/>
      <c r="E394" s="12"/>
      <c r="F394" s="11"/>
    </row>
    <row r="395">
      <c r="A395" s="11"/>
      <c r="B395" s="11"/>
      <c r="C395" s="11"/>
      <c r="D395" s="11"/>
      <c r="E395" s="12"/>
      <c r="F395" s="11"/>
    </row>
    <row r="396">
      <c r="A396" s="11"/>
      <c r="B396" s="11"/>
      <c r="C396" s="11"/>
      <c r="D396" s="11"/>
      <c r="E396" s="12"/>
      <c r="F396" s="11"/>
    </row>
    <row r="397">
      <c r="A397" s="11"/>
      <c r="B397" s="11"/>
      <c r="C397" s="11"/>
      <c r="D397" s="11"/>
      <c r="E397" s="12"/>
      <c r="F397" s="11"/>
    </row>
    <row r="398">
      <c r="A398" s="11"/>
      <c r="B398" s="11"/>
      <c r="C398" s="11"/>
      <c r="D398" s="11"/>
      <c r="E398" s="12"/>
      <c r="F398" s="11"/>
    </row>
    <row r="399">
      <c r="A399" s="11"/>
      <c r="B399" s="11"/>
      <c r="C399" s="11"/>
      <c r="D399" s="11"/>
      <c r="E399" s="12"/>
      <c r="F399" s="11"/>
    </row>
    <row r="400">
      <c r="A400" s="11"/>
      <c r="B400" s="11"/>
      <c r="C400" s="11"/>
      <c r="D400" s="11"/>
      <c r="E400" s="12"/>
      <c r="F400" s="11"/>
    </row>
    <row r="401">
      <c r="A401" s="11"/>
      <c r="B401" s="11"/>
      <c r="C401" s="11"/>
      <c r="D401" s="11"/>
      <c r="E401" s="12"/>
      <c r="F401" s="11"/>
    </row>
    <row r="402">
      <c r="A402" s="11"/>
      <c r="B402" s="11"/>
      <c r="C402" s="11"/>
      <c r="D402" s="11"/>
      <c r="E402" s="12"/>
      <c r="F402" s="11"/>
    </row>
    <row r="403">
      <c r="A403" s="11"/>
      <c r="B403" s="11"/>
      <c r="C403" s="11"/>
      <c r="D403" s="11"/>
      <c r="E403" s="12"/>
      <c r="F403" s="11"/>
    </row>
    <row r="404">
      <c r="A404" s="11"/>
      <c r="B404" s="11"/>
      <c r="C404" s="11"/>
      <c r="D404" s="11"/>
      <c r="E404" s="12"/>
      <c r="F404" s="11"/>
    </row>
    <row r="405">
      <c r="A405" s="11"/>
      <c r="B405" s="11"/>
      <c r="C405" s="11"/>
      <c r="D405" s="11"/>
      <c r="E405" s="12"/>
      <c r="F405" s="11"/>
    </row>
    <row r="406">
      <c r="A406" s="11"/>
      <c r="B406" s="11"/>
      <c r="C406" s="11"/>
      <c r="D406" s="11"/>
      <c r="E406" s="12"/>
      <c r="F406" s="11"/>
    </row>
    <row r="407">
      <c r="A407" s="11"/>
      <c r="B407" s="11"/>
      <c r="C407" s="11"/>
      <c r="D407" s="11"/>
      <c r="E407" s="12"/>
      <c r="F407" s="11"/>
    </row>
    <row r="408">
      <c r="A408" s="11"/>
      <c r="B408" s="11"/>
      <c r="C408" s="11"/>
      <c r="D408" s="11"/>
      <c r="E408" s="12"/>
      <c r="F408" s="11"/>
    </row>
    <row r="409">
      <c r="A409" s="11"/>
      <c r="B409" s="11"/>
      <c r="C409" s="11"/>
      <c r="D409" s="11"/>
      <c r="E409" s="12"/>
      <c r="F409" s="11"/>
    </row>
    <row r="410">
      <c r="A410" s="11"/>
      <c r="B410" s="11"/>
      <c r="C410" s="11"/>
      <c r="D410" s="11"/>
      <c r="E410" s="12"/>
      <c r="F410" s="11"/>
    </row>
    <row r="411">
      <c r="A411" s="11"/>
      <c r="B411" s="11"/>
      <c r="C411" s="11"/>
      <c r="D411" s="11"/>
      <c r="E411" s="12"/>
      <c r="F411" s="11"/>
    </row>
    <row r="412">
      <c r="A412" s="11"/>
      <c r="B412" s="11"/>
      <c r="C412" s="11"/>
      <c r="D412" s="11"/>
      <c r="E412" s="12"/>
      <c r="F412" s="11"/>
    </row>
    <row r="413">
      <c r="A413" s="11"/>
      <c r="B413" s="11"/>
      <c r="C413" s="11"/>
      <c r="D413" s="11"/>
      <c r="E413" s="12"/>
      <c r="F413" s="11"/>
    </row>
    <row r="414">
      <c r="A414" s="11"/>
      <c r="B414" s="11"/>
      <c r="C414" s="11"/>
      <c r="D414" s="11"/>
      <c r="E414" s="12"/>
      <c r="F414" s="11"/>
    </row>
    <row r="415">
      <c r="A415" s="11"/>
      <c r="B415" s="11"/>
      <c r="C415" s="11"/>
      <c r="D415" s="11"/>
      <c r="E415" s="12"/>
      <c r="F415" s="11"/>
    </row>
    <row r="416">
      <c r="A416" s="11"/>
      <c r="B416" s="11"/>
      <c r="C416" s="11"/>
      <c r="D416" s="11"/>
      <c r="E416" s="12"/>
      <c r="F416" s="11"/>
    </row>
    <row r="417">
      <c r="A417" s="11"/>
      <c r="B417" s="11"/>
      <c r="C417" s="11"/>
      <c r="D417" s="11"/>
      <c r="E417" s="12"/>
      <c r="F417" s="11"/>
    </row>
    <row r="418">
      <c r="A418" s="11"/>
      <c r="B418" s="11"/>
      <c r="C418" s="11"/>
      <c r="D418" s="11"/>
      <c r="E418" s="12"/>
      <c r="F418" s="11"/>
    </row>
    <row r="419">
      <c r="A419" s="11"/>
      <c r="B419" s="11"/>
      <c r="C419" s="11"/>
      <c r="D419" s="11"/>
      <c r="E419" s="12"/>
      <c r="F419" s="11"/>
    </row>
    <row r="420">
      <c r="A420" s="11"/>
      <c r="B420" s="11"/>
      <c r="C420" s="11"/>
      <c r="D420" s="11"/>
      <c r="E420" s="12"/>
      <c r="F420" s="11"/>
    </row>
    <row r="421">
      <c r="A421" s="11"/>
      <c r="B421" s="11"/>
      <c r="C421" s="11"/>
      <c r="D421" s="11"/>
      <c r="E421" s="12"/>
      <c r="F421" s="11"/>
    </row>
    <row r="422">
      <c r="A422" s="11"/>
      <c r="B422" s="11"/>
      <c r="C422" s="11"/>
      <c r="D422" s="11"/>
      <c r="E422" s="12"/>
      <c r="F422" s="11"/>
    </row>
    <row r="423">
      <c r="A423" s="11"/>
      <c r="B423" s="11"/>
      <c r="C423" s="11"/>
      <c r="D423" s="11"/>
      <c r="E423" s="12"/>
      <c r="F423" s="11"/>
    </row>
    <row r="424">
      <c r="A424" s="11"/>
      <c r="B424" s="11"/>
      <c r="C424" s="11"/>
      <c r="D424" s="11"/>
      <c r="E424" s="12"/>
      <c r="F424" s="11"/>
    </row>
    <row r="425">
      <c r="A425" s="11"/>
      <c r="B425" s="11"/>
      <c r="C425" s="11"/>
      <c r="D425" s="11"/>
      <c r="E425" s="12"/>
      <c r="F425" s="11"/>
    </row>
    <row r="426">
      <c r="A426" s="11"/>
      <c r="B426" s="11"/>
      <c r="C426" s="11"/>
      <c r="D426" s="11"/>
      <c r="E426" s="12"/>
      <c r="F426" s="11"/>
    </row>
    <row r="427">
      <c r="A427" s="11"/>
      <c r="B427" s="11"/>
      <c r="C427" s="11"/>
      <c r="D427" s="11"/>
      <c r="E427" s="12"/>
      <c r="F427" s="11"/>
    </row>
    <row r="428">
      <c r="A428" s="11"/>
      <c r="B428" s="11"/>
      <c r="C428" s="11"/>
      <c r="D428" s="11"/>
      <c r="E428" s="12"/>
      <c r="F428" s="11"/>
    </row>
    <row r="429">
      <c r="A429" s="11"/>
      <c r="B429" s="11"/>
      <c r="C429" s="11"/>
      <c r="D429" s="11"/>
      <c r="E429" s="12"/>
      <c r="F429" s="11"/>
    </row>
    <row r="430">
      <c r="A430" s="11"/>
      <c r="B430" s="11"/>
      <c r="C430" s="11"/>
      <c r="D430" s="11"/>
      <c r="E430" s="12"/>
      <c r="F430" s="11"/>
    </row>
    <row r="431">
      <c r="A431" s="11"/>
      <c r="B431" s="11"/>
      <c r="C431" s="11"/>
      <c r="D431" s="11"/>
      <c r="E431" s="12"/>
      <c r="F431" s="11"/>
    </row>
    <row r="432">
      <c r="A432" s="11"/>
      <c r="B432" s="11"/>
      <c r="C432" s="11"/>
      <c r="D432" s="11"/>
      <c r="E432" s="12"/>
      <c r="F432" s="11"/>
    </row>
    <row r="433">
      <c r="A433" s="11"/>
      <c r="B433" s="11"/>
      <c r="C433" s="11"/>
      <c r="D433" s="11"/>
      <c r="E433" s="12"/>
      <c r="F433" s="11"/>
    </row>
    <row r="434">
      <c r="A434" s="11"/>
      <c r="B434" s="11"/>
      <c r="C434" s="11"/>
      <c r="D434" s="11"/>
      <c r="E434" s="12"/>
      <c r="F434" s="11"/>
    </row>
    <row r="435">
      <c r="A435" s="11"/>
      <c r="B435" s="11"/>
      <c r="C435" s="11"/>
      <c r="D435" s="11"/>
      <c r="E435" s="12"/>
      <c r="F435" s="11"/>
    </row>
    <row r="436">
      <c r="A436" s="11"/>
      <c r="B436" s="11"/>
      <c r="C436" s="11"/>
      <c r="D436" s="11"/>
      <c r="E436" s="12"/>
      <c r="F436" s="11"/>
    </row>
    <row r="437">
      <c r="A437" s="11"/>
      <c r="B437" s="11"/>
      <c r="C437" s="11"/>
      <c r="D437" s="11"/>
      <c r="E437" s="12"/>
      <c r="F437" s="11"/>
    </row>
    <row r="438">
      <c r="A438" s="11"/>
      <c r="B438" s="11"/>
      <c r="C438" s="11"/>
      <c r="D438" s="11"/>
      <c r="E438" s="12"/>
      <c r="F438" s="11"/>
    </row>
    <row r="439">
      <c r="A439" s="11"/>
      <c r="B439" s="11"/>
      <c r="C439" s="11"/>
      <c r="D439" s="11"/>
      <c r="E439" s="12"/>
      <c r="F439" s="11"/>
    </row>
    <row r="440">
      <c r="A440" s="11"/>
      <c r="B440" s="11"/>
      <c r="C440" s="11"/>
      <c r="D440" s="11"/>
      <c r="E440" s="12"/>
      <c r="F440" s="11"/>
    </row>
    <row r="441">
      <c r="A441" s="11"/>
      <c r="B441" s="11"/>
      <c r="C441" s="11"/>
      <c r="D441" s="11"/>
      <c r="E441" s="12"/>
      <c r="F441" s="11"/>
    </row>
    <row r="442">
      <c r="A442" s="11"/>
      <c r="B442" s="11"/>
      <c r="C442" s="11"/>
      <c r="D442" s="11"/>
      <c r="E442" s="12"/>
      <c r="F442" s="11"/>
    </row>
    <row r="443">
      <c r="A443" s="11"/>
      <c r="B443" s="11"/>
      <c r="C443" s="11"/>
      <c r="D443" s="11"/>
      <c r="E443" s="12"/>
      <c r="F443" s="11"/>
    </row>
    <row r="444">
      <c r="A444" s="11"/>
      <c r="B444" s="11"/>
      <c r="C444" s="11"/>
      <c r="D444" s="11"/>
      <c r="E444" s="12"/>
      <c r="F444" s="11"/>
    </row>
    <row r="445">
      <c r="A445" s="11"/>
      <c r="B445" s="11"/>
      <c r="C445" s="11"/>
      <c r="D445" s="11"/>
      <c r="E445" s="12"/>
      <c r="F445" s="11"/>
    </row>
    <row r="446">
      <c r="A446" s="11"/>
      <c r="B446" s="11"/>
      <c r="C446" s="11"/>
      <c r="D446" s="11"/>
      <c r="E446" s="12"/>
      <c r="F446" s="11"/>
    </row>
    <row r="447">
      <c r="A447" s="11"/>
      <c r="B447" s="11"/>
      <c r="C447" s="11"/>
      <c r="D447" s="11"/>
      <c r="E447" s="12"/>
      <c r="F447" s="11"/>
    </row>
    <row r="448">
      <c r="A448" s="11"/>
      <c r="B448" s="11"/>
      <c r="C448" s="11"/>
      <c r="D448" s="11"/>
      <c r="E448" s="12"/>
      <c r="F448" s="11"/>
    </row>
    <row r="449">
      <c r="A449" s="11"/>
      <c r="B449" s="11"/>
      <c r="C449" s="11"/>
      <c r="D449" s="11"/>
      <c r="E449" s="12"/>
      <c r="F449" s="11"/>
    </row>
    <row r="450">
      <c r="A450" s="11"/>
      <c r="B450" s="11"/>
      <c r="C450" s="11"/>
      <c r="D450" s="11"/>
      <c r="E450" s="12"/>
      <c r="F450" s="11"/>
    </row>
    <row r="451">
      <c r="A451" s="11"/>
      <c r="B451" s="11"/>
      <c r="C451" s="11"/>
      <c r="D451" s="11"/>
      <c r="E451" s="12"/>
      <c r="F451" s="11"/>
    </row>
    <row r="452">
      <c r="A452" s="11"/>
      <c r="B452" s="11"/>
      <c r="C452" s="11"/>
      <c r="D452" s="11"/>
      <c r="E452" s="12"/>
      <c r="F452" s="11"/>
    </row>
    <row r="453">
      <c r="A453" s="11"/>
      <c r="B453" s="11"/>
      <c r="C453" s="11"/>
      <c r="D453" s="11"/>
      <c r="E453" s="12"/>
      <c r="F453" s="11"/>
    </row>
    <row r="454">
      <c r="A454" s="11"/>
      <c r="B454" s="11"/>
      <c r="C454" s="11"/>
      <c r="D454" s="11"/>
      <c r="E454" s="12"/>
      <c r="F454" s="11"/>
    </row>
    <row r="455">
      <c r="A455" s="11"/>
      <c r="B455" s="11"/>
      <c r="C455" s="11"/>
      <c r="D455" s="11"/>
      <c r="E455" s="12"/>
      <c r="F455" s="11"/>
    </row>
    <row r="456">
      <c r="A456" s="11"/>
      <c r="B456" s="11"/>
      <c r="C456" s="11"/>
      <c r="D456" s="11"/>
      <c r="E456" s="12"/>
      <c r="F456" s="11"/>
    </row>
    <row r="457">
      <c r="A457" s="11"/>
      <c r="B457" s="11"/>
      <c r="C457" s="11"/>
      <c r="D457" s="11"/>
      <c r="E457" s="12"/>
      <c r="F457" s="11"/>
    </row>
    <row r="458">
      <c r="A458" s="11"/>
      <c r="B458" s="11"/>
      <c r="C458" s="11"/>
      <c r="D458" s="11"/>
      <c r="E458" s="12"/>
      <c r="F458" s="11"/>
    </row>
    <row r="459">
      <c r="A459" s="11"/>
      <c r="B459" s="11"/>
      <c r="C459" s="11"/>
      <c r="D459" s="11"/>
      <c r="E459" s="12"/>
      <c r="F459" s="11"/>
    </row>
    <row r="460">
      <c r="A460" s="11"/>
      <c r="B460" s="11"/>
      <c r="C460" s="11"/>
      <c r="D460" s="11"/>
      <c r="E460" s="12"/>
      <c r="F460" s="11"/>
    </row>
    <row r="461">
      <c r="A461" s="11"/>
      <c r="B461" s="11"/>
      <c r="C461" s="11"/>
      <c r="D461" s="11"/>
      <c r="E461" s="12"/>
      <c r="F461" s="11"/>
    </row>
    <row r="462">
      <c r="A462" s="11"/>
      <c r="B462" s="11"/>
      <c r="C462" s="11"/>
      <c r="D462" s="11"/>
      <c r="E462" s="12"/>
      <c r="F462" s="11"/>
    </row>
    <row r="463">
      <c r="A463" s="11"/>
      <c r="B463" s="11"/>
      <c r="C463" s="11"/>
      <c r="D463" s="11"/>
      <c r="E463" s="12"/>
      <c r="F463" s="11"/>
    </row>
    <row r="464">
      <c r="A464" s="11"/>
      <c r="B464" s="11"/>
      <c r="C464" s="11"/>
      <c r="D464" s="11"/>
      <c r="E464" s="12"/>
      <c r="F464" s="11"/>
    </row>
    <row r="465">
      <c r="A465" s="11"/>
      <c r="B465" s="11"/>
      <c r="C465" s="11"/>
      <c r="D465" s="11"/>
      <c r="E465" s="12"/>
      <c r="F465" s="11"/>
    </row>
    <row r="466">
      <c r="A466" s="11"/>
      <c r="B466" s="11"/>
      <c r="C466" s="11"/>
      <c r="D466" s="11"/>
      <c r="E466" s="12"/>
      <c r="F466" s="11"/>
    </row>
    <row r="467">
      <c r="A467" s="11"/>
      <c r="B467" s="11"/>
      <c r="C467" s="11"/>
      <c r="D467" s="11"/>
      <c r="E467" s="12"/>
      <c r="F467" s="11"/>
    </row>
    <row r="468">
      <c r="A468" s="11"/>
      <c r="B468" s="11"/>
      <c r="C468" s="11"/>
      <c r="D468" s="11"/>
      <c r="E468" s="12"/>
      <c r="F468" s="11"/>
    </row>
    <row r="469">
      <c r="A469" s="11"/>
      <c r="B469" s="11"/>
      <c r="C469" s="11"/>
      <c r="D469" s="11"/>
      <c r="E469" s="12"/>
      <c r="F469" s="11"/>
    </row>
    <row r="470">
      <c r="A470" s="11"/>
      <c r="B470" s="11"/>
      <c r="C470" s="11"/>
      <c r="D470" s="11"/>
      <c r="E470" s="12"/>
      <c r="F470" s="11"/>
    </row>
    <row r="471">
      <c r="A471" s="11"/>
      <c r="B471" s="11"/>
      <c r="C471" s="11"/>
      <c r="D471" s="11"/>
      <c r="E471" s="12"/>
      <c r="F471" s="11"/>
    </row>
    <row r="472">
      <c r="A472" s="11"/>
      <c r="B472" s="11"/>
      <c r="C472" s="11"/>
      <c r="D472" s="11"/>
      <c r="E472" s="12"/>
      <c r="F472" s="11"/>
    </row>
    <row r="473">
      <c r="A473" s="11"/>
      <c r="B473" s="11"/>
      <c r="C473" s="11"/>
      <c r="D473" s="11"/>
      <c r="E473" s="12"/>
      <c r="F473" s="11"/>
    </row>
    <row r="474">
      <c r="A474" s="11"/>
      <c r="B474" s="11"/>
      <c r="C474" s="11"/>
      <c r="D474" s="11"/>
      <c r="E474" s="12"/>
      <c r="F474" s="11"/>
    </row>
    <row r="475">
      <c r="A475" s="11"/>
      <c r="B475" s="11"/>
      <c r="C475" s="11"/>
      <c r="D475" s="11"/>
      <c r="E475" s="12"/>
      <c r="F475" s="11"/>
    </row>
    <row r="476">
      <c r="A476" s="11"/>
      <c r="B476" s="11"/>
      <c r="C476" s="11"/>
      <c r="D476" s="11"/>
      <c r="E476" s="12"/>
      <c r="F476" s="11"/>
    </row>
    <row r="477">
      <c r="A477" s="11"/>
      <c r="B477" s="11"/>
      <c r="C477" s="11"/>
      <c r="D477" s="11"/>
      <c r="E477" s="12"/>
      <c r="F477" s="11"/>
    </row>
    <row r="478">
      <c r="A478" s="11"/>
      <c r="B478" s="11"/>
      <c r="C478" s="11"/>
      <c r="D478" s="11"/>
      <c r="E478" s="12"/>
      <c r="F478" s="11"/>
    </row>
    <row r="479">
      <c r="A479" s="11"/>
      <c r="B479" s="11"/>
      <c r="C479" s="11"/>
      <c r="D479" s="11"/>
      <c r="E479" s="12"/>
      <c r="F479" s="11"/>
    </row>
    <row r="480">
      <c r="A480" s="11"/>
      <c r="B480" s="11"/>
      <c r="C480" s="11"/>
      <c r="D480" s="11"/>
      <c r="E480" s="12"/>
      <c r="F480" s="11"/>
    </row>
    <row r="481">
      <c r="A481" s="11"/>
      <c r="B481" s="11"/>
      <c r="C481" s="11"/>
      <c r="D481" s="11"/>
      <c r="E481" s="12"/>
      <c r="F481" s="11"/>
    </row>
    <row r="482">
      <c r="A482" s="11"/>
      <c r="B482" s="11"/>
      <c r="C482" s="11"/>
      <c r="D482" s="11"/>
      <c r="E482" s="12"/>
      <c r="F482" s="11"/>
    </row>
    <row r="483">
      <c r="A483" s="11"/>
      <c r="B483" s="11"/>
      <c r="C483" s="11"/>
      <c r="D483" s="11"/>
      <c r="E483" s="12"/>
      <c r="F483" s="11"/>
    </row>
    <row r="484">
      <c r="A484" s="11"/>
      <c r="B484" s="11"/>
      <c r="C484" s="11"/>
      <c r="D484" s="11"/>
      <c r="E484" s="12"/>
      <c r="F484" s="11"/>
    </row>
    <row r="485">
      <c r="A485" s="11"/>
      <c r="B485" s="11"/>
      <c r="C485" s="11"/>
      <c r="D485" s="11"/>
      <c r="E485" s="12"/>
      <c r="F485" s="11"/>
    </row>
    <row r="486">
      <c r="A486" s="11"/>
      <c r="B486" s="11"/>
      <c r="C486" s="11"/>
      <c r="D486" s="11"/>
      <c r="E486" s="12"/>
      <c r="F486" s="11"/>
    </row>
    <row r="487">
      <c r="A487" s="11"/>
      <c r="B487" s="11"/>
      <c r="C487" s="11"/>
      <c r="D487" s="11"/>
      <c r="E487" s="12"/>
      <c r="F487" s="11"/>
    </row>
    <row r="488">
      <c r="A488" s="11"/>
      <c r="B488" s="11"/>
      <c r="C488" s="11"/>
      <c r="D488" s="11"/>
      <c r="E488" s="12"/>
      <c r="F488" s="11"/>
    </row>
    <row r="489">
      <c r="A489" s="11"/>
      <c r="B489" s="11"/>
      <c r="C489" s="11"/>
      <c r="D489" s="11"/>
      <c r="E489" s="12"/>
      <c r="F489" s="11"/>
    </row>
    <row r="490">
      <c r="A490" s="11"/>
      <c r="B490" s="11"/>
      <c r="C490" s="11"/>
      <c r="D490" s="11"/>
      <c r="E490" s="12"/>
      <c r="F490" s="11"/>
    </row>
    <row r="491">
      <c r="A491" s="11"/>
      <c r="B491" s="11"/>
      <c r="C491" s="11"/>
      <c r="D491" s="11"/>
      <c r="E491" s="12"/>
      <c r="F491" s="11"/>
    </row>
    <row r="492">
      <c r="A492" s="11"/>
      <c r="B492" s="11"/>
      <c r="C492" s="11"/>
      <c r="D492" s="11"/>
      <c r="E492" s="12"/>
      <c r="F492" s="11"/>
    </row>
    <row r="493">
      <c r="A493" s="11"/>
      <c r="B493" s="11"/>
      <c r="C493" s="11"/>
      <c r="D493" s="11"/>
      <c r="E493" s="12"/>
      <c r="F493" s="11"/>
    </row>
    <row r="494">
      <c r="A494" s="11"/>
      <c r="B494" s="11"/>
      <c r="C494" s="11"/>
      <c r="D494" s="11"/>
      <c r="E494" s="12"/>
      <c r="F494" s="11"/>
    </row>
    <row r="495">
      <c r="A495" s="11"/>
      <c r="B495" s="11"/>
      <c r="C495" s="11"/>
      <c r="D495" s="11"/>
      <c r="E495" s="12"/>
      <c r="F495" s="11"/>
    </row>
    <row r="496">
      <c r="A496" s="11"/>
      <c r="B496" s="11"/>
      <c r="C496" s="11"/>
      <c r="D496" s="11"/>
      <c r="E496" s="12"/>
      <c r="F496" s="11"/>
    </row>
    <row r="497">
      <c r="A497" s="11"/>
      <c r="B497" s="11"/>
      <c r="C497" s="11"/>
      <c r="D497" s="11"/>
      <c r="E497" s="12"/>
      <c r="F497" s="11"/>
    </row>
    <row r="498">
      <c r="A498" s="11"/>
      <c r="B498" s="11"/>
      <c r="C498" s="11"/>
      <c r="D498" s="11"/>
      <c r="E498" s="12"/>
      <c r="F498" s="11"/>
    </row>
    <row r="499">
      <c r="A499" s="11"/>
      <c r="B499" s="11"/>
      <c r="C499" s="11"/>
      <c r="D499" s="11"/>
      <c r="E499" s="12"/>
      <c r="F499" s="11"/>
    </row>
    <row r="500">
      <c r="A500" s="11"/>
      <c r="B500" s="11"/>
      <c r="C500" s="11"/>
      <c r="D500" s="11"/>
      <c r="E500" s="12"/>
      <c r="F500" s="11"/>
    </row>
    <row r="501">
      <c r="A501" s="11"/>
      <c r="B501" s="11"/>
      <c r="C501" s="11"/>
      <c r="D501" s="11"/>
      <c r="E501" s="12"/>
      <c r="F501" s="11"/>
    </row>
    <row r="502">
      <c r="A502" s="11"/>
      <c r="B502" s="11"/>
      <c r="C502" s="11"/>
      <c r="D502" s="11"/>
      <c r="E502" s="12"/>
      <c r="F502" s="11"/>
    </row>
    <row r="503">
      <c r="A503" s="11"/>
      <c r="B503" s="11"/>
      <c r="C503" s="11"/>
      <c r="D503" s="11"/>
      <c r="E503" s="12"/>
      <c r="F503" s="11"/>
    </row>
    <row r="504">
      <c r="A504" s="11"/>
      <c r="B504" s="11"/>
      <c r="C504" s="11"/>
      <c r="D504" s="11"/>
      <c r="E504" s="12"/>
      <c r="F504" s="11"/>
    </row>
    <row r="505">
      <c r="A505" s="11"/>
      <c r="B505" s="11"/>
      <c r="C505" s="11"/>
      <c r="D505" s="11"/>
      <c r="E505" s="12"/>
      <c r="F505" s="11"/>
    </row>
    <row r="506">
      <c r="A506" s="11"/>
      <c r="B506" s="11"/>
      <c r="C506" s="11"/>
      <c r="D506" s="11"/>
      <c r="E506" s="12"/>
      <c r="F506" s="11"/>
    </row>
    <row r="507">
      <c r="A507" s="11"/>
      <c r="B507" s="11"/>
      <c r="C507" s="11"/>
      <c r="D507" s="11"/>
      <c r="E507" s="12"/>
      <c r="F507" s="11"/>
    </row>
    <row r="508">
      <c r="A508" s="11"/>
      <c r="B508" s="11"/>
      <c r="C508" s="11"/>
      <c r="D508" s="11"/>
      <c r="E508" s="12"/>
      <c r="F508" s="11"/>
    </row>
    <row r="509">
      <c r="A509" s="11"/>
      <c r="B509" s="11"/>
      <c r="C509" s="11"/>
      <c r="D509" s="11"/>
      <c r="E509" s="12"/>
      <c r="F509" s="11"/>
    </row>
    <row r="510">
      <c r="A510" s="11"/>
      <c r="B510" s="11"/>
      <c r="C510" s="11"/>
      <c r="D510" s="11"/>
      <c r="E510" s="12"/>
      <c r="F510" s="11"/>
    </row>
    <row r="511">
      <c r="A511" s="11"/>
      <c r="B511" s="11"/>
      <c r="C511" s="11"/>
      <c r="D511" s="11"/>
      <c r="E511" s="12"/>
      <c r="F511" s="11"/>
    </row>
    <row r="512">
      <c r="A512" s="11"/>
      <c r="B512" s="11"/>
      <c r="C512" s="11"/>
      <c r="D512" s="11"/>
      <c r="E512" s="12"/>
      <c r="F512" s="11"/>
    </row>
    <row r="513">
      <c r="A513" s="11"/>
      <c r="B513" s="11"/>
      <c r="C513" s="11"/>
      <c r="D513" s="11"/>
      <c r="E513" s="12"/>
      <c r="F513" s="11"/>
    </row>
    <row r="514">
      <c r="A514" s="11"/>
      <c r="B514" s="11"/>
      <c r="C514" s="11"/>
      <c r="D514" s="11"/>
      <c r="E514" s="12"/>
      <c r="F514" s="11"/>
    </row>
    <row r="515">
      <c r="A515" s="11"/>
      <c r="B515" s="11"/>
      <c r="C515" s="11"/>
      <c r="D515" s="11"/>
      <c r="E515" s="12"/>
      <c r="F515" s="11"/>
    </row>
    <row r="516">
      <c r="A516" s="11"/>
      <c r="B516" s="11"/>
      <c r="C516" s="11"/>
      <c r="D516" s="11"/>
      <c r="E516" s="12"/>
      <c r="F516" s="11"/>
    </row>
    <row r="517">
      <c r="A517" s="11"/>
      <c r="B517" s="11"/>
      <c r="C517" s="11"/>
      <c r="D517" s="11"/>
      <c r="E517" s="12"/>
      <c r="F517" s="11"/>
    </row>
    <row r="518">
      <c r="A518" s="11"/>
      <c r="B518" s="11"/>
      <c r="C518" s="11"/>
      <c r="D518" s="11"/>
      <c r="E518" s="12"/>
      <c r="F518" s="11"/>
    </row>
    <row r="519">
      <c r="A519" s="11"/>
      <c r="B519" s="11"/>
      <c r="C519" s="11"/>
      <c r="D519" s="11"/>
      <c r="E519" s="12"/>
      <c r="F519" s="11"/>
    </row>
    <row r="520">
      <c r="A520" s="11"/>
      <c r="B520" s="11"/>
      <c r="C520" s="11"/>
      <c r="D520" s="11"/>
      <c r="E520" s="12"/>
      <c r="F520" s="11"/>
    </row>
    <row r="521">
      <c r="A521" s="11"/>
      <c r="B521" s="11"/>
      <c r="C521" s="11"/>
      <c r="D521" s="11"/>
      <c r="E521" s="12"/>
      <c r="F521" s="11"/>
    </row>
    <row r="522">
      <c r="A522" s="11"/>
      <c r="B522" s="11"/>
      <c r="C522" s="11"/>
      <c r="D522" s="11"/>
      <c r="E522" s="12"/>
      <c r="F522" s="11"/>
    </row>
    <row r="523">
      <c r="A523" s="11"/>
      <c r="B523" s="11"/>
      <c r="C523" s="11"/>
      <c r="D523" s="11"/>
      <c r="E523" s="12"/>
      <c r="F523" s="11"/>
    </row>
    <row r="524">
      <c r="A524" s="11"/>
      <c r="B524" s="11"/>
      <c r="C524" s="11"/>
      <c r="D524" s="11"/>
      <c r="E524" s="12"/>
      <c r="F524" s="11"/>
    </row>
    <row r="525">
      <c r="A525" s="11"/>
      <c r="B525" s="11"/>
      <c r="C525" s="11"/>
      <c r="D525" s="11"/>
      <c r="E525" s="12"/>
      <c r="F525" s="11"/>
    </row>
    <row r="526">
      <c r="A526" s="11"/>
      <c r="B526" s="11"/>
      <c r="C526" s="11"/>
      <c r="D526" s="11"/>
      <c r="E526" s="12"/>
      <c r="F526" s="11"/>
    </row>
    <row r="527">
      <c r="A527" s="11"/>
      <c r="B527" s="11"/>
      <c r="C527" s="11"/>
      <c r="D527" s="11"/>
      <c r="E527" s="12"/>
      <c r="F527" s="11"/>
    </row>
    <row r="528">
      <c r="A528" s="11"/>
      <c r="B528" s="11"/>
      <c r="C528" s="11"/>
      <c r="D528" s="11"/>
      <c r="E528" s="12"/>
      <c r="F528" s="11"/>
    </row>
    <row r="529">
      <c r="A529" s="11"/>
      <c r="B529" s="11"/>
      <c r="C529" s="11"/>
      <c r="D529" s="11"/>
      <c r="E529" s="12"/>
      <c r="F529" s="11"/>
    </row>
    <row r="530">
      <c r="A530" s="11"/>
      <c r="B530" s="11"/>
      <c r="C530" s="11"/>
      <c r="D530" s="11"/>
      <c r="E530" s="12"/>
      <c r="F530" s="11"/>
    </row>
    <row r="531">
      <c r="A531" s="11"/>
      <c r="B531" s="11"/>
      <c r="C531" s="11"/>
      <c r="D531" s="11"/>
      <c r="E531" s="12"/>
      <c r="F531" s="11"/>
    </row>
    <row r="532">
      <c r="A532" s="11"/>
      <c r="B532" s="11"/>
      <c r="C532" s="11"/>
      <c r="D532" s="11"/>
      <c r="E532" s="12"/>
      <c r="F532" s="11"/>
    </row>
    <row r="533">
      <c r="A533" s="11"/>
      <c r="B533" s="11"/>
      <c r="C533" s="11"/>
      <c r="D533" s="11"/>
      <c r="E533" s="12"/>
      <c r="F533" s="11"/>
    </row>
    <row r="534">
      <c r="A534" s="11"/>
      <c r="B534" s="11"/>
      <c r="C534" s="11"/>
      <c r="D534" s="11"/>
      <c r="E534" s="12"/>
      <c r="F534" s="11"/>
    </row>
    <row r="535">
      <c r="A535" s="11"/>
      <c r="B535" s="11"/>
      <c r="C535" s="11"/>
      <c r="D535" s="11"/>
      <c r="E535" s="12"/>
      <c r="F535" s="11"/>
    </row>
    <row r="536">
      <c r="A536" s="11"/>
      <c r="B536" s="11"/>
      <c r="C536" s="11"/>
      <c r="D536" s="11"/>
      <c r="E536" s="12"/>
      <c r="F536" s="11"/>
    </row>
    <row r="537">
      <c r="A537" s="11"/>
      <c r="B537" s="11"/>
      <c r="C537" s="11"/>
      <c r="D537" s="11"/>
      <c r="E537" s="12"/>
      <c r="F537" s="11"/>
    </row>
    <row r="538">
      <c r="A538" s="11"/>
      <c r="B538" s="11"/>
      <c r="C538" s="11"/>
      <c r="D538" s="11"/>
      <c r="E538" s="12"/>
      <c r="F538" s="11"/>
    </row>
    <row r="539">
      <c r="A539" s="11"/>
      <c r="B539" s="11"/>
      <c r="C539" s="11"/>
      <c r="D539" s="11"/>
      <c r="E539" s="12"/>
      <c r="F539" s="11"/>
    </row>
    <row r="540">
      <c r="A540" s="11"/>
      <c r="B540" s="11"/>
      <c r="C540" s="11"/>
      <c r="D540" s="11"/>
      <c r="E540" s="12"/>
      <c r="F540" s="11"/>
    </row>
    <row r="541">
      <c r="A541" s="11"/>
      <c r="B541" s="11"/>
      <c r="C541" s="11"/>
      <c r="D541" s="11"/>
      <c r="E541" s="12"/>
      <c r="F541" s="11"/>
    </row>
    <row r="542">
      <c r="A542" s="11"/>
      <c r="B542" s="11"/>
      <c r="C542" s="11"/>
      <c r="D542" s="11"/>
      <c r="E542" s="12"/>
      <c r="F542" s="11"/>
    </row>
    <row r="543">
      <c r="A543" s="11"/>
      <c r="B543" s="11"/>
      <c r="C543" s="11"/>
      <c r="D543" s="11"/>
      <c r="E543" s="12"/>
      <c r="F543" s="11"/>
    </row>
    <row r="544">
      <c r="A544" s="11"/>
      <c r="B544" s="11"/>
      <c r="C544" s="11"/>
      <c r="D544" s="11"/>
      <c r="E544" s="12"/>
      <c r="F544" s="11"/>
    </row>
    <row r="545">
      <c r="A545" s="11"/>
      <c r="B545" s="11"/>
      <c r="C545" s="11"/>
      <c r="D545" s="11"/>
      <c r="E545" s="12"/>
      <c r="F545" s="11"/>
    </row>
    <row r="546">
      <c r="A546" s="11"/>
      <c r="B546" s="11"/>
      <c r="C546" s="11"/>
      <c r="D546" s="11"/>
      <c r="E546" s="12"/>
      <c r="F546" s="11"/>
    </row>
    <row r="547">
      <c r="A547" s="11"/>
      <c r="B547" s="11"/>
      <c r="C547" s="11"/>
      <c r="D547" s="11"/>
      <c r="E547" s="12"/>
      <c r="F547" s="11"/>
    </row>
    <row r="548">
      <c r="A548" s="11"/>
      <c r="B548" s="11"/>
      <c r="C548" s="11"/>
      <c r="D548" s="11"/>
      <c r="E548" s="12"/>
      <c r="F548" s="11"/>
    </row>
    <row r="549">
      <c r="A549" s="11"/>
      <c r="B549" s="11"/>
      <c r="C549" s="11"/>
      <c r="D549" s="11"/>
      <c r="E549" s="12"/>
      <c r="F549" s="11"/>
    </row>
    <row r="550">
      <c r="A550" s="11"/>
      <c r="B550" s="11"/>
      <c r="C550" s="11"/>
      <c r="D550" s="11"/>
      <c r="E550" s="12"/>
      <c r="F550" s="11"/>
    </row>
    <row r="551">
      <c r="A551" s="11"/>
      <c r="B551" s="11"/>
      <c r="C551" s="11"/>
      <c r="D551" s="11"/>
      <c r="E551" s="12"/>
      <c r="F551" s="11"/>
    </row>
    <row r="552">
      <c r="A552" s="11"/>
      <c r="B552" s="11"/>
      <c r="C552" s="11"/>
      <c r="D552" s="11"/>
      <c r="E552" s="12"/>
      <c r="F552" s="11"/>
    </row>
    <row r="553">
      <c r="A553" s="11"/>
      <c r="B553" s="11"/>
      <c r="C553" s="11"/>
      <c r="D553" s="11"/>
      <c r="E553" s="12"/>
      <c r="F553" s="11"/>
    </row>
    <row r="554">
      <c r="A554" s="11"/>
      <c r="B554" s="11"/>
      <c r="C554" s="11"/>
      <c r="D554" s="11"/>
      <c r="E554" s="12"/>
      <c r="F554" s="11"/>
    </row>
    <row r="555">
      <c r="A555" s="11"/>
      <c r="B555" s="11"/>
      <c r="C555" s="11"/>
      <c r="D555" s="11"/>
      <c r="E555" s="12"/>
      <c r="F555" s="11"/>
    </row>
    <row r="556">
      <c r="A556" s="11"/>
      <c r="B556" s="11"/>
      <c r="C556" s="11"/>
      <c r="D556" s="11"/>
      <c r="E556" s="12"/>
      <c r="F556" s="11"/>
    </row>
    <row r="557">
      <c r="A557" s="11"/>
      <c r="B557" s="11"/>
      <c r="C557" s="11"/>
      <c r="D557" s="11"/>
      <c r="E557" s="12"/>
      <c r="F557" s="11"/>
    </row>
    <row r="558">
      <c r="A558" s="11"/>
      <c r="B558" s="11"/>
      <c r="C558" s="11"/>
      <c r="D558" s="11"/>
      <c r="E558" s="12"/>
      <c r="F558" s="11"/>
    </row>
    <row r="559">
      <c r="A559" s="11"/>
      <c r="B559" s="11"/>
      <c r="C559" s="11"/>
      <c r="D559" s="11"/>
      <c r="E559" s="12"/>
      <c r="F559" s="11"/>
    </row>
    <row r="560">
      <c r="A560" s="11"/>
      <c r="B560" s="11"/>
      <c r="C560" s="11"/>
      <c r="D560" s="11"/>
      <c r="E560" s="12"/>
      <c r="F560" s="11"/>
    </row>
    <row r="561">
      <c r="A561" s="11"/>
      <c r="B561" s="11"/>
      <c r="C561" s="11"/>
      <c r="D561" s="11"/>
      <c r="E561" s="12"/>
      <c r="F561" s="11"/>
    </row>
    <row r="562">
      <c r="A562" s="11"/>
      <c r="B562" s="11"/>
      <c r="C562" s="11"/>
      <c r="D562" s="11"/>
      <c r="E562" s="12"/>
      <c r="F562" s="11"/>
    </row>
    <row r="563">
      <c r="A563" s="11"/>
      <c r="B563" s="11"/>
      <c r="C563" s="11"/>
      <c r="D563" s="11"/>
      <c r="E563" s="12"/>
      <c r="F563" s="11"/>
    </row>
    <row r="564">
      <c r="A564" s="11"/>
      <c r="B564" s="11"/>
      <c r="C564" s="11"/>
      <c r="D564" s="11"/>
      <c r="E564" s="12"/>
      <c r="F564" s="11"/>
    </row>
    <row r="565">
      <c r="A565" s="11"/>
      <c r="B565" s="11"/>
      <c r="C565" s="11"/>
      <c r="D565" s="11"/>
      <c r="E565" s="12"/>
      <c r="F565" s="11"/>
    </row>
    <row r="566">
      <c r="A566" s="11"/>
      <c r="B566" s="11"/>
      <c r="C566" s="11"/>
      <c r="D566" s="11"/>
      <c r="E566" s="12"/>
      <c r="F566" s="11"/>
    </row>
    <row r="567">
      <c r="A567" s="11"/>
      <c r="B567" s="11"/>
      <c r="C567" s="11"/>
      <c r="D567" s="11"/>
      <c r="E567" s="12"/>
      <c r="F567" s="11"/>
    </row>
    <row r="568">
      <c r="A568" s="11"/>
      <c r="B568" s="11"/>
      <c r="C568" s="11"/>
      <c r="D568" s="11"/>
      <c r="E568" s="12"/>
      <c r="F568" s="11"/>
    </row>
    <row r="569">
      <c r="A569" s="11"/>
      <c r="B569" s="11"/>
      <c r="C569" s="11"/>
      <c r="D569" s="11"/>
      <c r="E569" s="12"/>
      <c r="F569" s="11"/>
    </row>
    <row r="570">
      <c r="A570" s="11"/>
      <c r="B570" s="11"/>
      <c r="C570" s="11"/>
      <c r="D570" s="11"/>
      <c r="E570" s="12"/>
      <c r="F570" s="11"/>
    </row>
    <row r="571">
      <c r="A571" s="11"/>
      <c r="B571" s="11"/>
      <c r="C571" s="11"/>
      <c r="D571" s="11"/>
      <c r="E571" s="12"/>
      <c r="F571" s="11"/>
    </row>
    <row r="572">
      <c r="A572" s="11"/>
      <c r="B572" s="11"/>
      <c r="C572" s="11"/>
      <c r="D572" s="11"/>
      <c r="E572" s="12"/>
      <c r="F572" s="11"/>
    </row>
    <row r="573">
      <c r="A573" s="11"/>
      <c r="B573" s="11"/>
      <c r="C573" s="11"/>
      <c r="D573" s="11"/>
      <c r="E573" s="12"/>
      <c r="F573" s="11"/>
    </row>
    <row r="574">
      <c r="A574" s="11"/>
      <c r="B574" s="11"/>
      <c r="C574" s="11"/>
      <c r="D574" s="11"/>
      <c r="E574" s="12"/>
      <c r="F574" s="11"/>
    </row>
    <row r="575">
      <c r="A575" s="11"/>
      <c r="B575" s="11"/>
      <c r="C575" s="11"/>
      <c r="D575" s="11"/>
      <c r="E575" s="12"/>
      <c r="F575" s="11"/>
    </row>
    <row r="576">
      <c r="A576" s="11"/>
      <c r="B576" s="11"/>
      <c r="C576" s="11"/>
      <c r="D576" s="11"/>
      <c r="E576" s="12"/>
      <c r="F576" s="11"/>
    </row>
    <row r="577">
      <c r="A577" s="11"/>
      <c r="B577" s="11"/>
      <c r="C577" s="11"/>
      <c r="D577" s="11"/>
      <c r="E577" s="12"/>
      <c r="F577" s="11"/>
    </row>
    <row r="578">
      <c r="A578" s="11"/>
      <c r="B578" s="11"/>
      <c r="C578" s="11"/>
      <c r="D578" s="11"/>
      <c r="E578" s="12"/>
      <c r="F578" s="11"/>
    </row>
    <row r="579">
      <c r="A579" s="11"/>
      <c r="B579" s="11"/>
      <c r="C579" s="11"/>
      <c r="D579" s="11"/>
      <c r="E579" s="12"/>
      <c r="F579" s="11"/>
    </row>
    <row r="580">
      <c r="A580" s="11"/>
      <c r="B580" s="11"/>
      <c r="C580" s="11"/>
      <c r="D580" s="11"/>
      <c r="E580" s="12"/>
      <c r="F580" s="11"/>
    </row>
    <row r="581">
      <c r="A581" s="11"/>
      <c r="B581" s="11"/>
      <c r="C581" s="11"/>
      <c r="D581" s="11"/>
      <c r="E581" s="12"/>
      <c r="F581" s="11"/>
    </row>
    <row r="582">
      <c r="A582" s="11"/>
      <c r="B582" s="11"/>
      <c r="C582" s="11"/>
      <c r="D582" s="11"/>
      <c r="E582" s="12"/>
      <c r="F582" s="11"/>
    </row>
    <row r="583">
      <c r="A583" s="11"/>
      <c r="B583" s="11"/>
      <c r="C583" s="11"/>
      <c r="D583" s="11"/>
      <c r="E583" s="12"/>
      <c r="F583" s="11"/>
    </row>
    <row r="584">
      <c r="A584" s="11"/>
      <c r="B584" s="11"/>
      <c r="C584" s="11"/>
      <c r="D584" s="11"/>
      <c r="E584" s="12"/>
      <c r="F584" s="11"/>
    </row>
    <row r="585">
      <c r="A585" s="11"/>
      <c r="B585" s="11"/>
      <c r="C585" s="11"/>
      <c r="D585" s="11"/>
      <c r="E585" s="12"/>
      <c r="F585" s="11"/>
    </row>
    <row r="586">
      <c r="A586" s="11"/>
      <c r="B586" s="11"/>
      <c r="C586" s="11"/>
      <c r="D586" s="11"/>
      <c r="E586" s="12"/>
      <c r="F586" s="11"/>
    </row>
    <row r="587">
      <c r="A587" s="11"/>
      <c r="B587" s="11"/>
      <c r="C587" s="11"/>
      <c r="D587" s="11"/>
      <c r="E587" s="12"/>
      <c r="F587" s="11"/>
    </row>
    <row r="588">
      <c r="A588" s="11"/>
      <c r="B588" s="11"/>
      <c r="C588" s="11"/>
      <c r="D588" s="11"/>
      <c r="E588" s="12"/>
      <c r="F588" s="11"/>
    </row>
    <row r="589">
      <c r="A589" s="11"/>
      <c r="B589" s="11"/>
      <c r="C589" s="11"/>
      <c r="D589" s="11"/>
      <c r="E589" s="12"/>
      <c r="F589" s="11"/>
    </row>
    <row r="590">
      <c r="A590" s="11"/>
      <c r="B590" s="11"/>
      <c r="C590" s="11"/>
      <c r="D590" s="11"/>
      <c r="E590" s="12"/>
      <c r="F590" s="11"/>
    </row>
    <row r="591">
      <c r="A591" s="11"/>
      <c r="B591" s="11"/>
      <c r="C591" s="11"/>
      <c r="D591" s="11"/>
      <c r="E591" s="12"/>
      <c r="F591" s="11"/>
    </row>
    <row r="592">
      <c r="A592" s="11"/>
      <c r="B592" s="11"/>
      <c r="C592" s="11"/>
      <c r="D592" s="11"/>
      <c r="E592" s="12"/>
      <c r="F592" s="11"/>
    </row>
    <row r="593">
      <c r="A593" s="11"/>
      <c r="B593" s="11"/>
      <c r="C593" s="11"/>
      <c r="D593" s="11"/>
      <c r="E593" s="12"/>
      <c r="F593" s="11"/>
    </row>
    <row r="594">
      <c r="A594" s="11"/>
      <c r="B594" s="11"/>
      <c r="C594" s="11"/>
      <c r="D594" s="11"/>
      <c r="E594" s="12"/>
      <c r="F594" s="11"/>
    </row>
    <row r="595">
      <c r="A595" s="11"/>
      <c r="B595" s="11"/>
      <c r="C595" s="11"/>
      <c r="D595" s="11"/>
      <c r="E595" s="12"/>
      <c r="F595" s="11"/>
    </row>
    <row r="596">
      <c r="A596" s="11"/>
      <c r="B596" s="11"/>
      <c r="C596" s="11"/>
      <c r="D596" s="11"/>
      <c r="E596" s="12"/>
      <c r="F596" s="11"/>
    </row>
    <row r="597">
      <c r="A597" s="11"/>
      <c r="B597" s="11"/>
      <c r="C597" s="11"/>
      <c r="D597" s="11"/>
      <c r="E597" s="12"/>
      <c r="F597" s="11"/>
    </row>
    <row r="598">
      <c r="A598" s="11"/>
      <c r="B598" s="11"/>
      <c r="C598" s="11"/>
      <c r="D598" s="11"/>
      <c r="E598" s="12"/>
      <c r="F598" s="11"/>
    </row>
    <row r="599">
      <c r="A599" s="11"/>
      <c r="B599" s="11"/>
      <c r="C599" s="11"/>
      <c r="D599" s="11"/>
      <c r="E599" s="12"/>
      <c r="F599" s="11"/>
    </row>
    <row r="600">
      <c r="A600" s="11"/>
      <c r="B600" s="11"/>
      <c r="C600" s="11"/>
      <c r="D600" s="11"/>
      <c r="E600" s="12"/>
      <c r="F600" s="11"/>
    </row>
    <row r="601">
      <c r="A601" s="11"/>
      <c r="B601" s="11"/>
      <c r="C601" s="11"/>
      <c r="D601" s="11"/>
      <c r="E601" s="12"/>
      <c r="F601" s="11"/>
    </row>
    <row r="602">
      <c r="A602" s="11"/>
      <c r="B602" s="11"/>
      <c r="C602" s="11"/>
      <c r="D602" s="11"/>
      <c r="E602" s="12"/>
      <c r="F602" s="11"/>
    </row>
    <row r="603">
      <c r="A603" s="11"/>
      <c r="B603" s="11"/>
      <c r="C603" s="11"/>
      <c r="D603" s="11"/>
      <c r="E603" s="12"/>
      <c r="F603" s="11"/>
    </row>
    <row r="604">
      <c r="A604" s="11"/>
      <c r="B604" s="11"/>
      <c r="C604" s="11"/>
      <c r="D604" s="11"/>
      <c r="E604" s="12"/>
      <c r="F604" s="11"/>
    </row>
    <row r="605">
      <c r="A605" s="11"/>
      <c r="B605" s="11"/>
      <c r="C605" s="11"/>
      <c r="D605" s="11"/>
      <c r="E605" s="12"/>
      <c r="F605" s="11"/>
    </row>
    <row r="606">
      <c r="A606" s="11"/>
      <c r="B606" s="11"/>
      <c r="C606" s="11"/>
      <c r="D606" s="11"/>
      <c r="E606" s="12"/>
      <c r="F606" s="11"/>
    </row>
    <row r="607">
      <c r="A607" s="11"/>
      <c r="B607" s="11"/>
      <c r="C607" s="11"/>
      <c r="D607" s="11"/>
      <c r="E607" s="12"/>
      <c r="F607" s="11"/>
    </row>
    <row r="608">
      <c r="A608" s="11"/>
      <c r="B608" s="11"/>
      <c r="C608" s="11"/>
      <c r="D608" s="11"/>
      <c r="E608" s="12"/>
      <c r="F608" s="11"/>
    </row>
    <row r="609">
      <c r="A609" s="11"/>
      <c r="B609" s="11"/>
      <c r="C609" s="11"/>
      <c r="D609" s="11"/>
      <c r="E609" s="12"/>
      <c r="F609" s="11"/>
    </row>
    <row r="610">
      <c r="A610" s="11"/>
      <c r="B610" s="11"/>
      <c r="C610" s="11"/>
      <c r="D610" s="11"/>
      <c r="E610" s="12"/>
      <c r="F610" s="11"/>
    </row>
    <row r="611">
      <c r="A611" s="11"/>
      <c r="B611" s="11"/>
      <c r="C611" s="11"/>
      <c r="D611" s="11"/>
      <c r="E611" s="12"/>
      <c r="F611" s="11"/>
    </row>
    <row r="612">
      <c r="A612" s="11"/>
      <c r="B612" s="11"/>
      <c r="C612" s="11"/>
      <c r="D612" s="11"/>
      <c r="E612" s="12"/>
      <c r="F612" s="11"/>
    </row>
    <row r="613">
      <c r="A613" s="11"/>
      <c r="B613" s="11"/>
      <c r="C613" s="11"/>
      <c r="D613" s="11"/>
      <c r="E613" s="12"/>
      <c r="F613" s="11"/>
    </row>
    <row r="614">
      <c r="A614" s="11"/>
      <c r="B614" s="11"/>
      <c r="C614" s="11"/>
      <c r="D614" s="11"/>
      <c r="E614" s="12"/>
      <c r="F614" s="11"/>
    </row>
    <row r="615">
      <c r="A615" s="11"/>
      <c r="B615" s="11"/>
      <c r="C615" s="11"/>
      <c r="D615" s="11"/>
      <c r="E615" s="12"/>
      <c r="F615" s="11"/>
    </row>
    <row r="616">
      <c r="A616" s="11"/>
      <c r="B616" s="11"/>
      <c r="C616" s="11"/>
      <c r="D616" s="11"/>
      <c r="E616" s="12"/>
      <c r="F616" s="11"/>
    </row>
    <row r="617">
      <c r="A617" s="11"/>
      <c r="B617" s="11"/>
      <c r="C617" s="11"/>
      <c r="D617" s="11"/>
      <c r="E617" s="12"/>
      <c r="F617" s="11"/>
    </row>
    <row r="618">
      <c r="A618" s="11"/>
      <c r="B618" s="11"/>
      <c r="C618" s="11"/>
      <c r="D618" s="11"/>
      <c r="E618" s="12"/>
      <c r="F618" s="11"/>
    </row>
    <row r="619">
      <c r="A619" s="11"/>
      <c r="B619" s="11"/>
      <c r="C619" s="11"/>
      <c r="D619" s="11"/>
      <c r="E619" s="12"/>
      <c r="F619" s="11"/>
    </row>
    <row r="620">
      <c r="A620" s="11"/>
      <c r="B620" s="11"/>
      <c r="C620" s="11"/>
      <c r="D620" s="11"/>
      <c r="E620" s="12"/>
      <c r="F620" s="11"/>
    </row>
    <row r="621">
      <c r="A621" s="11"/>
      <c r="B621" s="11"/>
      <c r="C621" s="11"/>
      <c r="D621" s="11"/>
      <c r="E621" s="12"/>
      <c r="F621" s="11"/>
    </row>
    <row r="622">
      <c r="A622" s="11"/>
      <c r="B622" s="11"/>
      <c r="C622" s="11"/>
      <c r="D622" s="11"/>
      <c r="E622" s="12"/>
      <c r="F622" s="11"/>
    </row>
    <row r="623">
      <c r="A623" s="11"/>
      <c r="B623" s="11"/>
      <c r="C623" s="11"/>
      <c r="D623" s="11"/>
      <c r="E623" s="12"/>
      <c r="F623" s="11"/>
    </row>
    <row r="624">
      <c r="A624" s="11"/>
      <c r="B624" s="11"/>
      <c r="C624" s="11"/>
      <c r="D624" s="11"/>
      <c r="E624" s="12"/>
      <c r="F624" s="11"/>
    </row>
    <row r="625">
      <c r="A625" s="11"/>
      <c r="B625" s="11"/>
      <c r="C625" s="11"/>
      <c r="D625" s="11"/>
      <c r="E625" s="12"/>
      <c r="F625" s="11"/>
    </row>
    <row r="626">
      <c r="A626" s="11"/>
      <c r="B626" s="11"/>
      <c r="C626" s="11"/>
      <c r="D626" s="11"/>
      <c r="E626" s="12"/>
      <c r="F626" s="11"/>
    </row>
    <row r="627">
      <c r="A627" s="11"/>
      <c r="B627" s="11"/>
      <c r="C627" s="11"/>
      <c r="D627" s="11"/>
      <c r="E627" s="12"/>
      <c r="F627" s="11"/>
    </row>
    <row r="628">
      <c r="A628" s="11"/>
      <c r="B628" s="11"/>
      <c r="C628" s="11"/>
      <c r="D628" s="11"/>
      <c r="E628" s="12"/>
      <c r="F628" s="11"/>
    </row>
    <row r="629">
      <c r="A629" s="11"/>
      <c r="B629" s="11"/>
      <c r="C629" s="11"/>
      <c r="D629" s="11"/>
      <c r="E629" s="12"/>
      <c r="F629" s="11"/>
    </row>
    <row r="630">
      <c r="A630" s="11"/>
      <c r="B630" s="11"/>
      <c r="C630" s="11"/>
      <c r="D630" s="11"/>
      <c r="E630" s="12"/>
      <c r="F630" s="11"/>
    </row>
    <row r="631">
      <c r="A631" s="11"/>
      <c r="B631" s="11"/>
      <c r="C631" s="11"/>
      <c r="D631" s="11"/>
      <c r="E631" s="12"/>
      <c r="F631" s="11"/>
    </row>
    <row r="632">
      <c r="A632" s="11"/>
      <c r="B632" s="11"/>
      <c r="C632" s="11"/>
      <c r="D632" s="11"/>
      <c r="E632" s="12"/>
      <c r="F632" s="11"/>
    </row>
    <row r="633">
      <c r="A633" s="11"/>
      <c r="B633" s="11"/>
      <c r="C633" s="11"/>
      <c r="D633" s="11"/>
      <c r="E633" s="12"/>
      <c r="F633" s="11"/>
    </row>
    <row r="634">
      <c r="A634" s="11"/>
      <c r="B634" s="11"/>
      <c r="C634" s="11"/>
      <c r="D634" s="11"/>
      <c r="E634" s="12"/>
      <c r="F634" s="11"/>
    </row>
    <row r="635">
      <c r="A635" s="11"/>
      <c r="B635" s="11"/>
      <c r="C635" s="11"/>
      <c r="D635" s="11"/>
      <c r="E635" s="12"/>
      <c r="F635" s="11"/>
    </row>
    <row r="636">
      <c r="A636" s="11"/>
      <c r="B636" s="11"/>
      <c r="C636" s="11"/>
      <c r="D636" s="11"/>
      <c r="E636" s="12"/>
      <c r="F636" s="11"/>
    </row>
    <row r="637">
      <c r="A637" s="11"/>
      <c r="B637" s="11"/>
      <c r="C637" s="11"/>
      <c r="D637" s="11"/>
      <c r="E637" s="12"/>
      <c r="F637" s="11"/>
    </row>
    <row r="638">
      <c r="A638" s="11"/>
      <c r="B638" s="11"/>
      <c r="C638" s="11"/>
      <c r="D638" s="11"/>
      <c r="E638" s="12"/>
      <c r="F638" s="11"/>
    </row>
    <row r="639">
      <c r="A639" s="11"/>
      <c r="B639" s="11"/>
      <c r="C639" s="11"/>
      <c r="D639" s="11"/>
      <c r="E639" s="12"/>
      <c r="F639" s="11"/>
    </row>
    <row r="640">
      <c r="A640" s="11"/>
      <c r="B640" s="11"/>
      <c r="C640" s="11"/>
      <c r="D640" s="11"/>
      <c r="E640" s="12"/>
      <c r="F640" s="11"/>
    </row>
    <row r="641">
      <c r="A641" s="11"/>
      <c r="B641" s="11"/>
      <c r="C641" s="11"/>
      <c r="D641" s="11"/>
      <c r="E641" s="12"/>
      <c r="F641" s="11"/>
    </row>
    <row r="642">
      <c r="A642" s="11"/>
      <c r="B642" s="11"/>
      <c r="C642" s="11"/>
      <c r="D642" s="11"/>
      <c r="E642" s="12"/>
      <c r="F642" s="11"/>
    </row>
    <row r="643">
      <c r="A643" s="11"/>
      <c r="B643" s="11"/>
      <c r="C643" s="11"/>
      <c r="D643" s="11"/>
      <c r="E643" s="12"/>
      <c r="F643" s="11"/>
    </row>
    <row r="644">
      <c r="A644" s="11"/>
      <c r="B644" s="11"/>
      <c r="C644" s="11"/>
      <c r="D644" s="11"/>
      <c r="E644" s="12"/>
      <c r="F644" s="11"/>
    </row>
    <row r="645">
      <c r="A645" s="11"/>
      <c r="B645" s="11"/>
      <c r="C645" s="11"/>
      <c r="D645" s="11"/>
      <c r="E645" s="12"/>
      <c r="F645" s="11"/>
    </row>
    <row r="646">
      <c r="A646" s="11"/>
      <c r="B646" s="11"/>
      <c r="C646" s="11"/>
      <c r="D646" s="11"/>
      <c r="E646" s="12"/>
      <c r="F646" s="11"/>
    </row>
    <row r="647">
      <c r="A647" s="11"/>
      <c r="B647" s="11"/>
      <c r="C647" s="11"/>
      <c r="D647" s="11"/>
      <c r="E647" s="12"/>
      <c r="F647" s="11"/>
    </row>
    <row r="648">
      <c r="A648" s="11"/>
      <c r="B648" s="11"/>
      <c r="C648" s="11"/>
      <c r="D648" s="11"/>
      <c r="E648" s="12"/>
      <c r="F648" s="11"/>
    </row>
    <row r="649">
      <c r="A649" s="11"/>
      <c r="B649" s="11"/>
      <c r="C649" s="11"/>
      <c r="D649" s="11"/>
      <c r="E649" s="12"/>
      <c r="F649" s="11"/>
    </row>
    <row r="650">
      <c r="A650" s="11"/>
      <c r="B650" s="11"/>
      <c r="C650" s="11"/>
      <c r="D650" s="11"/>
      <c r="E650" s="12"/>
      <c r="F650" s="11"/>
    </row>
    <row r="651">
      <c r="A651" s="11"/>
      <c r="B651" s="11"/>
      <c r="C651" s="11"/>
      <c r="D651" s="11"/>
      <c r="E651" s="12"/>
      <c r="F651" s="11"/>
    </row>
    <row r="652">
      <c r="A652" s="11"/>
      <c r="B652" s="11"/>
      <c r="C652" s="11"/>
      <c r="D652" s="11"/>
      <c r="E652" s="12"/>
      <c r="F652" s="11"/>
    </row>
    <row r="653">
      <c r="A653" s="11"/>
      <c r="B653" s="11"/>
      <c r="C653" s="11"/>
      <c r="D653" s="11"/>
      <c r="E653" s="12"/>
      <c r="F653" s="11"/>
    </row>
    <row r="654">
      <c r="A654" s="11"/>
      <c r="B654" s="11"/>
      <c r="C654" s="11"/>
      <c r="D654" s="11"/>
      <c r="E654" s="12"/>
      <c r="F654" s="11"/>
    </row>
    <row r="655">
      <c r="A655" s="11"/>
      <c r="B655" s="11"/>
      <c r="C655" s="11"/>
      <c r="D655" s="11"/>
      <c r="E655" s="12"/>
      <c r="F655" s="11"/>
    </row>
    <row r="656">
      <c r="A656" s="11"/>
      <c r="B656" s="11"/>
      <c r="C656" s="11"/>
      <c r="D656" s="11"/>
      <c r="E656" s="12"/>
      <c r="F656" s="11"/>
    </row>
    <row r="657">
      <c r="A657" s="11"/>
      <c r="B657" s="11"/>
      <c r="C657" s="11"/>
      <c r="D657" s="11"/>
      <c r="E657" s="12"/>
      <c r="F657" s="11"/>
    </row>
    <row r="658">
      <c r="A658" s="11"/>
      <c r="B658" s="11"/>
      <c r="C658" s="11"/>
      <c r="D658" s="11"/>
      <c r="E658" s="12"/>
      <c r="F658" s="11"/>
    </row>
    <row r="659">
      <c r="A659" s="11"/>
      <c r="B659" s="11"/>
      <c r="C659" s="11"/>
      <c r="D659" s="11"/>
      <c r="E659" s="12"/>
      <c r="F659" s="11"/>
    </row>
    <row r="660">
      <c r="A660" s="11"/>
      <c r="B660" s="11"/>
      <c r="C660" s="11"/>
      <c r="D660" s="11"/>
      <c r="E660" s="12"/>
      <c r="F660" s="11"/>
    </row>
    <row r="661">
      <c r="A661" s="11"/>
      <c r="B661" s="11"/>
      <c r="C661" s="11"/>
      <c r="D661" s="11"/>
      <c r="E661" s="12"/>
      <c r="F661" s="11"/>
    </row>
    <row r="662">
      <c r="A662" s="11"/>
      <c r="B662" s="11"/>
      <c r="C662" s="11"/>
      <c r="D662" s="11"/>
      <c r="E662" s="12"/>
      <c r="F662" s="11"/>
    </row>
    <row r="663">
      <c r="A663" s="11"/>
      <c r="B663" s="11"/>
      <c r="C663" s="11"/>
      <c r="D663" s="11"/>
      <c r="E663" s="12"/>
      <c r="F663" s="11"/>
    </row>
    <row r="664">
      <c r="A664" s="11"/>
      <c r="B664" s="11"/>
      <c r="C664" s="11"/>
      <c r="D664" s="11"/>
      <c r="E664" s="12"/>
      <c r="F664" s="11"/>
    </row>
    <row r="665">
      <c r="A665" s="11"/>
      <c r="B665" s="11"/>
      <c r="C665" s="11"/>
      <c r="D665" s="11"/>
      <c r="E665" s="12"/>
      <c r="F665" s="11"/>
    </row>
    <row r="666">
      <c r="A666" s="11"/>
      <c r="B666" s="11"/>
      <c r="C666" s="11"/>
      <c r="D666" s="11"/>
      <c r="E666" s="12"/>
      <c r="F666" s="11"/>
    </row>
    <row r="667">
      <c r="A667" s="11"/>
      <c r="B667" s="11"/>
      <c r="C667" s="11"/>
      <c r="D667" s="11"/>
      <c r="E667" s="12"/>
      <c r="F667" s="11"/>
    </row>
    <row r="668">
      <c r="A668" s="11"/>
      <c r="B668" s="11"/>
      <c r="C668" s="11"/>
      <c r="D668" s="11"/>
      <c r="E668" s="12"/>
      <c r="F668" s="11"/>
    </row>
    <row r="669">
      <c r="A669" s="11"/>
      <c r="B669" s="11"/>
      <c r="C669" s="11"/>
      <c r="D669" s="11"/>
      <c r="E669" s="12"/>
      <c r="F669" s="11"/>
    </row>
    <row r="670">
      <c r="A670" s="11"/>
      <c r="B670" s="11"/>
      <c r="C670" s="11"/>
      <c r="D670" s="11"/>
      <c r="E670" s="12"/>
      <c r="F670" s="11"/>
    </row>
    <row r="671">
      <c r="A671" s="11"/>
      <c r="B671" s="11"/>
      <c r="C671" s="11"/>
      <c r="D671" s="11"/>
      <c r="E671" s="12"/>
      <c r="F671" s="11"/>
    </row>
    <row r="672">
      <c r="A672" s="11"/>
      <c r="B672" s="11"/>
      <c r="C672" s="11"/>
      <c r="D672" s="11"/>
      <c r="E672" s="12"/>
      <c r="F672" s="11"/>
    </row>
    <row r="673">
      <c r="A673" s="11"/>
      <c r="B673" s="11"/>
      <c r="C673" s="11"/>
      <c r="D673" s="11"/>
      <c r="E673" s="12"/>
      <c r="F673" s="11"/>
    </row>
    <row r="674">
      <c r="A674" s="11"/>
      <c r="B674" s="11"/>
      <c r="C674" s="11"/>
      <c r="D674" s="11"/>
      <c r="E674" s="12"/>
      <c r="F674" s="11"/>
    </row>
    <row r="675">
      <c r="A675" s="11"/>
      <c r="B675" s="11"/>
      <c r="C675" s="11"/>
      <c r="D675" s="11"/>
      <c r="E675" s="12"/>
      <c r="F675" s="11"/>
    </row>
    <row r="676">
      <c r="A676" s="11"/>
      <c r="B676" s="11"/>
      <c r="C676" s="11"/>
      <c r="D676" s="11"/>
      <c r="E676" s="12"/>
      <c r="F676" s="11"/>
    </row>
    <row r="677">
      <c r="A677" s="11"/>
      <c r="B677" s="11"/>
      <c r="C677" s="11"/>
      <c r="D677" s="11"/>
      <c r="E677" s="12"/>
      <c r="F677" s="11"/>
    </row>
    <row r="678">
      <c r="A678" s="11"/>
      <c r="B678" s="11"/>
      <c r="C678" s="11"/>
      <c r="D678" s="11"/>
      <c r="E678" s="12"/>
      <c r="F678" s="11"/>
    </row>
    <row r="679">
      <c r="A679" s="11"/>
      <c r="B679" s="11"/>
      <c r="C679" s="11"/>
      <c r="D679" s="11"/>
      <c r="E679" s="12"/>
      <c r="F679" s="11"/>
    </row>
    <row r="680">
      <c r="A680" s="11"/>
      <c r="B680" s="11"/>
      <c r="C680" s="11"/>
      <c r="D680" s="11"/>
      <c r="E680" s="12"/>
      <c r="F680" s="11"/>
    </row>
    <row r="681">
      <c r="A681" s="11"/>
      <c r="B681" s="11"/>
      <c r="C681" s="11"/>
      <c r="D681" s="11"/>
      <c r="E681" s="12"/>
      <c r="F681" s="11"/>
    </row>
    <row r="682">
      <c r="A682" s="11"/>
      <c r="B682" s="11"/>
      <c r="C682" s="11"/>
      <c r="D682" s="11"/>
      <c r="E682" s="12"/>
      <c r="F682" s="11"/>
    </row>
    <row r="683">
      <c r="A683" s="11"/>
      <c r="B683" s="11"/>
      <c r="C683" s="11"/>
      <c r="D683" s="11"/>
      <c r="E683" s="12"/>
      <c r="F683" s="11"/>
    </row>
    <row r="684">
      <c r="A684" s="11"/>
      <c r="B684" s="11"/>
      <c r="C684" s="11"/>
      <c r="D684" s="11"/>
      <c r="E684" s="12"/>
      <c r="F684" s="11"/>
    </row>
    <row r="685">
      <c r="A685" s="11"/>
      <c r="B685" s="11"/>
      <c r="C685" s="11"/>
      <c r="D685" s="11"/>
      <c r="E685" s="12"/>
      <c r="F685" s="11"/>
    </row>
    <row r="686">
      <c r="A686" s="11"/>
      <c r="B686" s="11"/>
      <c r="C686" s="11"/>
      <c r="D686" s="11"/>
      <c r="E686" s="12"/>
      <c r="F686" s="11"/>
    </row>
    <row r="687">
      <c r="A687" s="11"/>
      <c r="B687" s="11"/>
      <c r="C687" s="11"/>
      <c r="D687" s="11"/>
      <c r="E687" s="12"/>
      <c r="F687" s="11"/>
    </row>
    <row r="688">
      <c r="A688" s="11"/>
      <c r="B688" s="11"/>
      <c r="C688" s="11"/>
      <c r="D688" s="11"/>
      <c r="E688" s="12"/>
      <c r="F688" s="11"/>
    </row>
    <row r="689">
      <c r="A689" s="11"/>
      <c r="B689" s="11"/>
      <c r="C689" s="11"/>
      <c r="D689" s="11"/>
      <c r="E689" s="12"/>
      <c r="F689" s="11"/>
    </row>
    <row r="690">
      <c r="A690" s="11"/>
      <c r="B690" s="11"/>
      <c r="C690" s="11"/>
      <c r="D690" s="11"/>
      <c r="E690" s="12"/>
      <c r="F690" s="11"/>
    </row>
    <row r="691">
      <c r="A691" s="11"/>
      <c r="B691" s="11"/>
      <c r="C691" s="11"/>
      <c r="D691" s="11"/>
      <c r="E691" s="12"/>
      <c r="F691" s="11"/>
    </row>
    <row r="692">
      <c r="A692" s="11"/>
      <c r="B692" s="11"/>
      <c r="C692" s="11"/>
      <c r="D692" s="11"/>
      <c r="E692" s="12"/>
      <c r="F692" s="11"/>
    </row>
    <row r="693">
      <c r="A693" s="11"/>
      <c r="B693" s="11"/>
      <c r="C693" s="11"/>
      <c r="D693" s="11"/>
      <c r="E693" s="12"/>
      <c r="F693" s="11"/>
    </row>
    <row r="694">
      <c r="A694" s="11"/>
      <c r="B694" s="11"/>
      <c r="C694" s="11"/>
      <c r="D694" s="11"/>
      <c r="E694" s="12"/>
      <c r="F694" s="11"/>
    </row>
    <row r="695">
      <c r="A695" s="11"/>
      <c r="B695" s="11"/>
      <c r="C695" s="11"/>
      <c r="D695" s="11"/>
      <c r="E695" s="12"/>
      <c r="F695" s="11"/>
    </row>
    <row r="696">
      <c r="A696" s="11"/>
      <c r="B696" s="11"/>
      <c r="C696" s="11"/>
      <c r="D696" s="11"/>
      <c r="E696" s="12"/>
      <c r="F696" s="11"/>
    </row>
    <row r="697">
      <c r="A697" s="11"/>
      <c r="B697" s="11"/>
      <c r="C697" s="11"/>
      <c r="D697" s="11"/>
      <c r="E697" s="12"/>
      <c r="F697" s="11"/>
    </row>
    <row r="698">
      <c r="A698" s="11"/>
      <c r="B698" s="11"/>
      <c r="C698" s="11"/>
      <c r="D698" s="11"/>
      <c r="E698" s="12"/>
      <c r="F698" s="11"/>
    </row>
    <row r="699">
      <c r="A699" s="11"/>
      <c r="B699" s="11"/>
      <c r="C699" s="11"/>
      <c r="D699" s="11"/>
      <c r="E699" s="12"/>
      <c r="F699" s="11"/>
    </row>
    <row r="700">
      <c r="A700" s="11"/>
      <c r="B700" s="11"/>
      <c r="C700" s="11"/>
      <c r="D700" s="11"/>
      <c r="E700" s="12"/>
      <c r="F700" s="11"/>
    </row>
    <row r="701">
      <c r="A701" s="11"/>
      <c r="B701" s="11"/>
      <c r="C701" s="11"/>
      <c r="D701" s="11"/>
      <c r="E701" s="12"/>
      <c r="F701" s="11"/>
    </row>
    <row r="702">
      <c r="A702" s="11"/>
      <c r="B702" s="11"/>
      <c r="C702" s="11"/>
      <c r="D702" s="11"/>
      <c r="E702" s="12"/>
      <c r="F702" s="11"/>
    </row>
    <row r="703">
      <c r="A703" s="11"/>
      <c r="B703" s="11"/>
      <c r="C703" s="11"/>
      <c r="D703" s="11"/>
      <c r="E703" s="12"/>
      <c r="F703" s="11"/>
    </row>
    <row r="704">
      <c r="A704" s="11"/>
      <c r="B704" s="11"/>
      <c r="C704" s="11"/>
      <c r="D704" s="11"/>
      <c r="E704" s="12"/>
      <c r="F704" s="11"/>
    </row>
    <row r="705">
      <c r="A705" s="11"/>
      <c r="B705" s="11"/>
      <c r="C705" s="11"/>
      <c r="D705" s="11"/>
      <c r="E705" s="12"/>
      <c r="F705" s="11"/>
    </row>
    <row r="706">
      <c r="A706" s="11"/>
      <c r="B706" s="11"/>
      <c r="C706" s="11"/>
      <c r="D706" s="11"/>
      <c r="E706" s="12"/>
      <c r="F706" s="11"/>
    </row>
    <row r="707">
      <c r="A707" s="11"/>
      <c r="B707" s="11"/>
      <c r="C707" s="11"/>
      <c r="D707" s="11"/>
      <c r="E707" s="12"/>
      <c r="F707" s="11"/>
    </row>
    <row r="708">
      <c r="A708" s="11"/>
      <c r="B708" s="11"/>
      <c r="C708" s="11"/>
      <c r="D708" s="11"/>
      <c r="E708" s="12"/>
      <c r="F708" s="11"/>
    </row>
    <row r="709">
      <c r="A709" s="11"/>
      <c r="B709" s="11"/>
      <c r="C709" s="11"/>
      <c r="D709" s="11"/>
      <c r="E709" s="12"/>
      <c r="F709" s="11"/>
    </row>
    <row r="710">
      <c r="A710" s="11"/>
      <c r="B710" s="11"/>
      <c r="C710" s="11"/>
      <c r="D710" s="11"/>
      <c r="E710" s="12"/>
      <c r="F710" s="11"/>
    </row>
    <row r="711">
      <c r="A711" s="11"/>
      <c r="B711" s="11"/>
      <c r="C711" s="11"/>
      <c r="D711" s="11"/>
      <c r="E711" s="12"/>
      <c r="F711" s="11"/>
    </row>
    <row r="712">
      <c r="A712" s="11"/>
      <c r="B712" s="11"/>
      <c r="C712" s="11"/>
      <c r="D712" s="11"/>
      <c r="E712" s="12"/>
      <c r="F712" s="11"/>
    </row>
    <row r="713">
      <c r="A713" s="11"/>
      <c r="B713" s="11"/>
      <c r="C713" s="11"/>
      <c r="D713" s="11"/>
      <c r="E713" s="12"/>
      <c r="F713" s="11"/>
    </row>
    <row r="714">
      <c r="A714" s="11"/>
      <c r="B714" s="11"/>
      <c r="C714" s="11"/>
      <c r="D714" s="11"/>
      <c r="E714" s="12"/>
      <c r="F714" s="11"/>
    </row>
    <row r="715">
      <c r="A715" s="11"/>
      <c r="B715" s="11"/>
      <c r="C715" s="11"/>
      <c r="D715" s="11"/>
      <c r="E715" s="12"/>
      <c r="F715" s="11"/>
    </row>
    <row r="716">
      <c r="A716" s="11"/>
      <c r="B716" s="11"/>
      <c r="C716" s="11"/>
      <c r="D716" s="11"/>
      <c r="E716" s="12"/>
      <c r="F716" s="11"/>
    </row>
    <row r="717">
      <c r="A717" s="11"/>
      <c r="B717" s="11"/>
      <c r="C717" s="11"/>
      <c r="D717" s="11"/>
      <c r="E717" s="12"/>
      <c r="F717" s="11"/>
    </row>
    <row r="718">
      <c r="A718" s="11"/>
      <c r="B718" s="11"/>
      <c r="C718" s="11"/>
      <c r="D718" s="11"/>
      <c r="E718" s="12"/>
      <c r="F718" s="11"/>
    </row>
    <row r="719">
      <c r="A719" s="11"/>
      <c r="B719" s="11"/>
      <c r="C719" s="11"/>
      <c r="D719" s="11"/>
      <c r="E719" s="12"/>
      <c r="F719" s="11"/>
    </row>
    <row r="720">
      <c r="A720" s="11"/>
      <c r="B720" s="11"/>
      <c r="C720" s="11"/>
      <c r="D720" s="11"/>
      <c r="E720" s="12"/>
      <c r="F720" s="11"/>
    </row>
    <row r="721">
      <c r="A721" s="11"/>
      <c r="B721" s="11"/>
      <c r="C721" s="11"/>
      <c r="D721" s="11"/>
      <c r="E721" s="12"/>
      <c r="F721" s="11"/>
    </row>
    <row r="722">
      <c r="A722" s="11"/>
      <c r="B722" s="11"/>
      <c r="C722" s="11"/>
      <c r="D722" s="11"/>
      <c r="E722" s="12"/>
      <c r="F722" s="11"/>
    </row>
    <row r="723">
      <c r="A723" s="11"/>
      <c r="B723" s="11"/>
      <c r="C723" s="11"/>
      <c r="D723" s="11"/>
      <c r="E723" s="12"/>
      <c r="F723" s="11"/>
    </row>
    <row r="724">
      <c r="A724" s="11"/>
      <c r="B724" s="11"/>
      <c r="C724" s="11"/>
      <c r="D724" s="11"/>
      <c r="E724" s="12"/>
      <c r="F724" s="11"/>
    </row>
    <row r="725">
      <c r="A725" s="11"/>
      <c r="B725" s="11"/>
      <c r="C725" s="11"/>
      <c r="D725" s="11"/>
      <c r="E725" s="12"/>
      <c r="F725" s="11"/>
    </row>
    <row r="726">
      <c r="A726" s="11"/>
      <c r="B726" s="11"/>
      <c r="C726" s="11"/>
      <c r="D726" s="11"/>
      <c r="E726" s="12"/>
      <c r="F726" s="11"/>
    </row>
    <row r="727">
      <c r="A727" s="11"/>
      <c r="B727" s="11"/>
      <c r="C727" s="11"/>
      <c r="D727" s="11"/>
      <c r="E727" s="12"/>
      <c r="F727" s="11"/>
    </row>
    <row r="728">
      <c r="A728" s="11"/>
      <c r="B728" s="11"/>
      <c r="C728" s="11"/>
      <c r="D728" s="11"/>
      <c r="E728" s="12"/>
      <c r="F728" s="11"/>
    </row>
    <row r="729">
      <c r="A729" s="11"/>
      <c r="B729" s="11"/>
      <c r="C729" s="11"/>
      <c r="D729" s="11"/>
      <c r="E729" s="12"/>
      <c r="F729" s="11"/>
    </row>
    <row r="730">
      <c r="A730" s="11"/>
      <c r="B730" s="11"/>
      <c r="C730" s="11"/>
      <c r="D730" s="11"/>
      <c r="E730" s="12"/>
      <c r="F730" s="11"/>
    </row>
    <row r="731">
      <c r="A731" s="11"/>
      <c r="B731" s="11"/>
      <c r="C731" s="11"/>
      <c r="D731" s="11"/>
      <c r="E731" s="12"/>
      <c r="F731" s="11"/>
    </row>
    <row r="732">
      <c r="A732" s="11"/>
      <c r="B732" s="11"/>
      <c r="C732" s="11"/>
      <c r="D732" s="11"/>
      <c r="E732" s="12"/>
      <c r="F732" s="11"/>
    </row>
    <row r="733">
      <c r="A733" s="11"/>
      <c r="B733" s="11"/>
      <c r="C733" s="11"/>
      <c r="D733" s="11"/>
      <c r="E733" s="12"/>
      <c r="F733" s="11"/>
    </row>
    <row r="734">
      <c r="A734" s="11"/>
      <c r="B734" s="11"/>
      <c r="C734" s="11"/>
      <c r="D734" s="11"/>
      <c r="E734" s="12"/>
      <c r="F734" s="11"/>
    </row>
    <row r="735">
      <c r="A735" s="11"/>
      <c r="B735" s="11"/>
      <c r="C735" s="11"/>
      <c r="D735" s="11"/>
      <c r="E735" s="12"/>
      <c r="F735" s="11"/>
    </row>
    <row r="736">
      <c r="A736" s="11"/>
      <c r="B736" s="11"/>
      <c r="C736" s="11"/>
      <c r="D736" s="11"/>
      <c r="E736" s="12"/>
      <c r="F736" s="11"/>
    </row>
    <row r="737">
      <c r="A737" s="11"/>
      <c r="B737" s="11"/>
      <c r="C737" s="11"/>
      <c r="D737" s="11"/>
      <c r="E737" s="12"/>
      <c r="F737" s="11"/>
    </row>
    <row r="738">
      <c r="A738" s="11"/>
      <c r="B738" s="11"/>
      <c r="C738" s="11"/>
      <c r="D738" s="11"/>
      <c r="E738" s="12"/>
      <c r="F738" s="11"/>
    </row>
    <row r="739">
      <c r="A739" s="11"/>
      <c r="B739" s="11"/>
      <c r="C739" s="11"/>
      <c r="D739" s="11"/>
      <c r="E739" s="12"/>
      <c r="F739" s="11"/>
    </row>
    <row r="740">
      <c r="A740" s="11"/>
      <c r="B740" s="11"/>
      <c r="C740" s="11"/>
      <c r="D740" s="11"/>
      <c r="E740" s="12"/>
      <c r="F740" s="11"/>
    </row>
    <row r="741">
      <c r="A741" s="11"/>
      <c r="B741" s="11"/>
      <c r="C741" s="11"/>
      <c r="D741" s="11"/>
      <c r="E741" s="12"/>
      <c r="F741" s="11"/>
    </row>
    <row r="742">
      <c r="A742" s="11"/>
      <c r="B742" s="11"/>
      <c r="C742" s="11"/>
      <c r="D742" s="11"/>
      <c r="E742" s="12"/>
      <c r="F742" s="11"/>
    </row>
    <row r="743">
      <c r="A743" s="11"/>
      <c r="B743" s="11"/>
      <c r="C743" s="11"/>
      <c r="D743" s="11"/>
      <c r="E743" s="12"/>
      <c r="F743" s="11"/>
    </row>
    <row r="744">
      <c r="A744" s="11"/>
      <c r="B744" s="11"/>
      <c r="C744" s="11"/>
      <c r="D744" s="11"/>
      <c r="E744" s="12"/>
      <c r="F744" s="11"/>
    </row>
    <row r="745">
      <c r="A745" s="11"/>
      <c r="B745" s="11"/>
      <c r="C745" s="11"/>
      <c r="D745" s="11"/>
      <c r="E745" s="12"/>
      <c r="F745" s="11"/>
    </row>
    <row r="746">
      <c r="A746" s="11"/>
      <c r="B746" s="11"/>
      <c r="C746" s="11"/>
      <c r="D746" s="11"/>
      <c r="E746" s="12"/>
      <c r="F746" s="11"/>
    </row>
    <row r="747">
      <c r="A747" s="11"/>
      <c r="B747" s="11"/>
      <c r="C747" s="11"/>
      <c r="D747" s="11"/>
      <c r="E747" s="12"/>
      <c r="F747" s="11"/>
    </row>
    <row r="748">
      <c r="A748" s="11"/>
      <c r="B748" s="11"/>
      <c r="C748" s="11"/>
      <c r="D748" s="11"/>
      <c r="E748" s="12"/>
      <c r="F748" s="11"/>
    </row>
    <row r="749">
      <c r="A749" s="11"/>
      <c r="B749" s="11"/>
      <c r="C749" s="11"/>
      <c r="D749" s="11"/>
      <c r="E749" s="12"/>
      <c r="F749" s="11"/>
    </row>
    <row r="750">
      <c r="A750" s="11"/>
      <c r="B750" s="11"/>
      <c r="C750" s="11"/>
      <c r="D750" s="11"/>
      <c r="E750" s="12"/>
      <c r="F750" s="11"/>
    </row>
    <row r="751">
      <c r="A751" s="11"/>
      <c r="B751" s="11"/>
      <c r="C751" s="11"/>
      <c r="D751" s="11"/>
      <c r="E751" s="12"/>
      <c r="F751" s="11"/>
    </row>
    <row r="752">
      <c r="A752" s="11"/>
      <c r="B752" s="11"/>
      <c r="C752" s="11"/>
      <c r="D752" s="11"/>
      <c r="E752" s="12"/>
      <c r="F752" s="11"/>
    </row>
    <row r="753">
      <c r="A753" s="11"/>
      <c r="B753" s="11"/>
      <c r="C753" s="11"/>
      <c r="D753" s="11"/>
      <c r="E753" s="12"/>
      <c r="F753" s="11"/>
    </row>
    <row r="754">
      <c r="A754" s="11"/>
      <c r="B754" s="11"/>
      <c r="C754" s="11"/>
      <c r="D754" s="11"/>
      <c r="E754" s="12"/>
      <c r="F754" s="11"/>
    </row>
    <row r="755">
      <c r="A755" s="11"/>
      <c r="B755" s="11"/>
      <c r="C755" s="11"/>
      <c r="D755" s="11"/>
      <c r="E755" s="12"/>
      <c r="F755" s="11"/>
    </row>
    <row r="756">
      <c r="A756" s="11"/>
      <c r="B756" s="11"/>
      <c r="C756" s="11"/>
      <c r="D756" s="11"/>
      <c r="E756" s="12"/>
      <c r="F756" s="11"/>
    </row>
    <row r="757">
      <c r="A757" s="11"/>
      <c r="B757" s="11"/>
      <c r="C757" s="11"/>
      <c r="D757" s="11"/>
      <c r="E757" s="12"/>
      <c r="F757" s="11"/>
    </row>
    <row r="758">
      <c r="A758" s="11"/>
      <c r="B758" s="11"/>
      <c r="C758" s="11"/>
      <c r="D758" s="11"/>
      <c r="E758" s="12"/>
      <c r="F758" s="11"/>
    </row>
    <row r="759">
      <c r="A759" s="11"/>
      <c r="B759" s="11"/>
      <c r="C759" s="11"/>
      <c r="D759" s="11"/>
      <c r="E759" s="12"/>
      <c r="F759" s="11"/>
    </row>
    <row r="760">
      <c r="A760" s="11"/>
      <c r="B760" s="11"/>
      <c r="C760" s="11"/>
      <c r="D760" s="11"/>
      <c r="E760" s="12"/>
      <c r="F760" s="11"/>
    </row>
    <row r="761">
      <c r="A761" s="11"/>
      <c r="B761" s="11"/>
      <c r="C761" s="11"/>
      <c r="D761" s="11"/>
      <c r="E761" s="12"/>
      <c r="F761" s="11"/>
    </row>
    <row r="762">
      <c r="A762" s="11"/>
      <c r="B762" s="11"/>
      <c r="C762" s="11"/>
      <c r="D762" s="11"/>
      <c r="E762" s="12"/>
      <c r="F762" s="11"/>
    </row>
    <row r="763">
      <c r="A763" s="11"/>
      <c r="B763" s="11"/>
      <c r="C763" s="11"/>
      <c r="D763" s="11"/>
      <c r="E763" s="12"/>
      <c r="F763" s="11"/>
    </row>
    <row r="764">
      <c r="A764" s="11"/>
      <c r="B764" s="11"/>
      <c r="C764" s="11"/>
      <c r="D764" s="11"/>
      <c r="E764" s="12"/>
      <c r="F764" s="11"/>
    </row>
    <row r="765">
      <c r="A765" s="11"/>
      <c r="B765" s="11"/>
      <c r="C765" s="11"/>
      <c r="D765" s="11"/>
      <c r="E765" s="12"/>
      <c r="F765" s="11"/>
    </row>
    <row r="766">
      <c r="A766" s="11"/>
      <c r="B766" s="11"/>
      <c r="C766" s="11"/>
      <c r="D766" s="11"/>
      <c r="E766" s="12"/>
      <c r="F766" s="11"/>
    </row>
    <row r="767">
      <c r="A767" s="11"/>
      <c r="B767" s="11"/>
      <c r="C767" s="11"/>
      <c r="D767" s="11"/>
      <c r="E767" s="12"/>
      <c r="F767" s="11"/>
    </row>
    <row r="768">
      <c r="A768" s="11"/>
      <c r="B768" s="11"/>
      <c r="C768" s="11"/>
      <c r="D768" s="11"/>
      <c r="E768" s="12"/>
      <c r="F768" s="11"/>
    </row>
    <row r="769">
      <c r="A769" s="11"/>
      <c r="B769" s="11"/>
      <c r="C769" s="11"/>
      <c r="D769" s="11"/>
      <c r="E769" s="12"/>
      <c r="F769" s="11"/>
    </row>
    <row r="770">
      <c r="A770" s="11"/>
      <c r="B770" s="11"/>
      <c r="C770" s="11"/>
      <c r="D770" s="11"/>
      <c r="E770" s="12"/>
      <c r="F770" s="11"/>
    </row>
    <row r="771">
      <c r="A771" s="11"/>
      <c r="B771" s="11"/>
      <c r="C771" s="11"/>
      <c r="D771" s="11"/>
      <c r="E771" s="12"/>
      <c r="F771" s="11"/>
    </row>
    <row r="772">
      <c r="A772" s="11"/>
      <c r="B772" s="11"/>
      <c r="C772" s="11"/>
      <c r="D772" s="11"/>
      <c r="E772" s="12"/>
      <c r="F772" s="11"/>
    </row>
    <row r="773">
      <c r="A773" s="11"/>
      <c r="B773" s="11"/>
      <c r="C773" s="11"/>
      <c r="D773" s="11"/>
      <c r="E773" s="12"/>
      <c r="F773" s="11"/>
    </row>
    <row r="774">
      <c r="A774" s="11"/>
      <c r="B774" s="11"/>
      <c r="C774" s="11"/>
      <c r="D774" s="11"/>
      <c r="E774" s="12"/>
      <c r="F774" s="11"/>
    </row>
    <row r="775">
      <c r="A775" s="11"/>
      <c r="B775" s="11"/>
      <c r="C775" s="11"/>
      <c r="D775" s="11"/>
      <c r="E775" s="12"/>
      <c r="F775" s="11"/>
    </row>
    <row r="776">
      <c r="A776" s="11"/>
      <c r="B776" s="11"/>
      <c r="C776" s="11"/>
      <c r="D776" s="11"/>
      <c r="E776" s="12"/>
      <c r="F776" s="11"/>
    </row>
    <row r="777">
      <c r="A777" s="11"/>
      <c r="B777" s="11"/>
      <c r="C777" s="11"/>
      <c r="D777" s="11"/>
      <c r="E777" s="12"/>
      <c r="F777" s="11"/>
    </row>
    <row r="778">
      <c r="A778" s="11"/>
      <c r="B778" s="11"/>
      <c r="C778" s="11"/>
      <c r="D778" s="11"/>
      <c r="E778" s="12"/>
      <c r="F778" s="11"/>
    </row>
    <row r="779">
      <c r="A779" s="11"/>
      <c r="B779" s="11"/>
      <c r="C779" s="11"/>
      <c r="D779" s="11"/>
      <c r="E779" s="12"/>
      <c r="F779" s="11"/>
    </row>
    <row r="780">
      <c r="A780" s="11"/>
      <c r="B780" s="11"/>
      <c r="C780" s="11"/>
      <c r="D780" s="11"/>
      <c r="E780" s="12"/>
      <c r="F780" s="11"/>
    </row>
    <row r="781">
      <c r="A781" s="11"/>
      <c r="B781" s="11"/>
      <c r="C781" s="11"/>
      <c r="D781" s="11"/>
      <c r="E781" s="12"/>
      <c r="F781" s="11"/>
    </row>
    <row r="782">
      <c r="A782" s="11"/>
      <c r="B782" s="11"/>
      <c r="C782" s="11"/>
      <c r="D782" s="11"/>
      <c r="E782" s="12"/>
      <c r="F782" s="11"/>
    </row>
    <row r="783">
      <c r="A783" s="11"/>
      <c r="B783" s="11"/>
      <c r="C783" s="11"/>
      <c r="D783" s="11"/>
      <c r="E783" s="12"/>
      <c r="F783" s="11"/>
    </row>
    <row r="784">
      <c r="A784" s="11"/>
      <c r="B784" s="11"/>
      <c r="C784" s="11"/>
      <c r="D784" s="11"/>
      <c r="E784" s="12"/>
      <c r="F784" s="11"/>
    </row>
    <row r="785">
      <c r="A785" s="11"/>
      <c r="B785" s="11"/>
      <c r="C785" s="11"/>
      <c r="D785" s="11"/>
      <c r="E785" s="12"/>
      <c r="F785" s="11"/>
    </row>
    <row r="786">
      <c r="A786" s="11"/>
      <c r="B786" s="11"/>
      <c r="C786" s="11"/>
      <c r="D786" s="11"/>
      <c r="E786" s="12"/>
      <c r="F786" s="11"/>
    </row>
    <row r="787">
      <c r="A787" s="11"/>
      <c r="B787" s="11"/>
      <c r="C787" s="11"/>
      <c r="D787" s="11"/>
      <c r="E787" s="12"/>
      <c r="F787" s="11"/>
    </row>
    <row r="788">
      <c r="A788" s="11"/>
      <c r="B788" s="11"/>
      <c r="C788" s="11"/>
      <c r="D788" s="11"/>
      <c r="E788" s="12"/>
      <c r="F788" s="11"/>
    </row>
    <row r="789">
      <c r="A789" s="11"/>
      <c r="B789" s="11"/>
      <c r="C789" s="11"/>
      <c r="D789" s="11"/>
      <c r="E789" s="12"/>
      <c r="F789" s="11"/>
    </row>
    <row r="790">
      <c r="A790" s="11"/>
      <c r="B790" s="11"/>
      <c r="C790" s="11"/>
      <c r="D790" s="11"/>
      <c r="E790" s="12"/>
      <c r="F790" s="11"/>
    </row>
    <row r="791">
      <c r="A791" s="11"/>
      <c r="B791" s="11"/>
      <c r="C791" s="11"/>
      <c r="D791" s="11"/>
      <c r="E791" s="12"/>
      <c r="F791" s="11"/>
    </row>
    <row r="792">
      <c r="A792" s="11"/>
      <c r="B792" s="11"/>
      <c r="C792" s="11"/>
      <c r="D792" s="11"/>
      <c r="E792" s="12"/>
      <c r="F792" s="11"/>
    </row>
    <row r="793">
      <c r="A793" s="11"/>
      <c r="B793" s="11"/>
      <c r="C793" s="11"/>
      <c r="D793" s="11"/>
      <c r="E793" s="12"/>
      <c r="F793" s="11"/>
    </row>
    <row r="794">
      <c r="A794" s="11"/>
      <c r="B794" s="11"/>
      <c r="C794" s="11"/>
      <c r="D794" s="11"/>
      <c r="E794" s="12"/>
      <c r="F794" s="11"/>
    </row>
    <row r="795">
      <c r="A795" s="11"/>
      <c r="B795" s="11"/>
      <c r="C795" s="11"/>
      <c r="D795" s="11"/>
      <c r="E795" s="12"/>
      <c r="F795" s="11"/>
    </row>
    <row r="796">
      <c r="A796" s="11"/>
      <c r="B796" s="11"/>
      <c r="C796" s="11"/>
      <c r="D796" s="11"/>
      <c r="E796" s="12"/>
      <c r="F796" s="11"/>
    </row>
    <row r="797">
      <c r="A797" s="11"/>
      <c r="B797" s="11"/>
      <c r="C797" s="11"/>
      <c r="D797" s="11"/>
      <c r="E797" s="12"/>
      <c r="F797" s="11"/>
    </row>
    <row r="798">
      <c r="A798" s="11"/>
      <c r="B798" s="11"/>
      <c r="C798" s="11"/>
      <c r="D798" s="11"/>
      <c r="E798" s="12"/>
      <c r="F798" s="11"/>
    </row>
    <row r="799">
      <c r="A799" s="11"/>
      <c r="B799" s="11"/>
      <c r="C799" s="11"/>
      <c r="D799" s="11"/>
      <c r="E799" s="12"/>
      <c r="F799" s="11"/>
    </row>
    <row r="800">
      <c r="A800" s="11"/>
      <c r="B800" s="11"/>
      <c r="C800" s="11"/>
      <c r="D800" s="11"/>
      <c r="E800" s="12"/>
      <c r="F800" s="11"/>
    </row>
    <row r="801">
      <c r="A801" s="11"/>
      <c r="B801" s="11"/>
      <c r="C801" s="11"/>
      <c r="D801" s="11"/>
      <c r="E801" s="12"/>
      <c r="F801" s="11"/>
    </row>
    <row r="802">
      <c r="A802" s="11"/>
      <c r="B802" s="11"/>
      <c r="C802" s="11"/>
      <c r="D802" s="11"/>
      <c r="E802" s="12"/>
      <c r="F802" s="11"/>
    </row>
    <row r="803">
      <c r="A803" s="11"/>
      <c r="B803" s="11"/>
      <c r="C803" s="11"/>
      <c r="D803" s="11"/>
      <c r="E803" s="12"/>
      <c r="F803" s="11"/>
    </row>
    <row r="804">
      <c r="A804" s="11"/>
      <c r="B804" s="11"/>
      <c r="C804" s="11"/>
      <c r="D804" s="11"/>
      <c r="E804" s="12"/>
      <c r="F804" s="11"/>
    </row>
    <row r="805">
      <c r="A805" s="11"/>
      <c r="B805" s="11"/>
      <c r="C805" s="11"/>
      <c r="D805" s="11"/>
      <c r="E805" s="12"/>
      <c r="F805" s="11"/>
    </row>
    <row r="806">
      <c r="A806" s="11"/>
      <c r="B806" s="11"/>
      <c r="C806" s="11"/>
      <c r="D806" s="11"/>
      <c r="E806" s="12"/>
      <c r="F806" s="11"/>
    </row>
    <row r="807">
      <c r="A807" s="11"/>
      <c r="B807" s="11"/>
      <c r="C807" s="11"/>
      <c r="D807" s="11"/>
      <c r="E807" s="12"/>
      <c r="F807" s="11"/>
    </row>
    <row r="808">
      <c r="A808" s="11"/>
      <c r="B808" s="11"/>
      <c r="C808" s="11"/>
      <c r="D808" s="11"/>
      <c r="E808" s="12"/>
      <c r="F808" s="11"/>
    </row>
    <row r="809">
      <c r="A809" s="11"/>
      <c r="B809" s="11"/>
      <c r="C809" s="11"/>
      <c r="D809" s="11"/>
      <c r="E809" s="12"/>
      <c r="F809" s="11"/>
    </row>
    <row r="810">
      <c r="A810" s="11"/>
      <c r="B810" s="11"/>
      <c r="C810" s="11"/>
      <c r="D810" s="11"/>
      <c r="E810" s="12"/>
      <c r="F810" s="11"/>
    </row>
    <row r="811">
      <c r="A811" s="11"/>
      <c r="B811" s="11"/>
      <c r="C811" s="11"/>
      <c r="D811" s="11"/>
      <c r="E811" s="12"/>
      <c r="F811" s="11"/>
    </row>
    <row r="812">
      <c r="A812" s="11"/>
      <c r="B812" s="11"/>
      <c r="C812" s="11"/>
      <c r="D812" s="11"/>
      <c r="E812" s="12"/>
      <c r="F812" s="11"/>
    </row>
    <row r="813">
      <c r="A813" s="11"/>
      <c r="B813" s="11"/>
      <c r="C813" s="11"/>
      <c r="D813" s="11"/>
      <c r="E813" s="12"/>
      <c r="F813" s="11"/>
    </row>
    <row r="814">
      <c r="A814" s="11"/>
      <c r="B814" s="11"/>
      <c r="C814" s="11"/>
      <c r="D814" s="11"/>
      <c r="E814" s="12"/>
      <c r="F814" s="11"/>
    </row>
    <row r="815">
      <c r="A815" s="11"/>
      <c r="B815" s="11"/>
      <c r="C815" s="11"/>
      <c r="D815" s="11"/>
      <c r="E815" s="12"/>
      <c r="F815" s="11"/>
    </row>
    <row r="816">
      <c r="A816" s="11"/>
      <c r="B816" s="11"/>
      <c r="C816" s="11"/>
      <c r="D816" s="11"/>
      <c r="E816" s="12"/>
      <c r="F816" s="11"/>
    </row>
    <row r="817">
      <c r="A817" s="11"/>
      <c r="B817" s="11"/>
      <c r="C817" s="11"/>
      <c r="D817" s="11"/>
      <c r="E817" s="12"/>
      <c r="F817" s="11"/>
    </row>
    <row r="818">
      <c r="A818" s="11"/>
      <c r="B818" s="11"/>
      <c r="C818" s="11"/>
      <c r="D818" s="11"/>
      <c r="E818" s="12"/>
      <c r="F818" s="11"/>
    </row>
    <row r="819">
      <c r="A819" s="11"/>
      <c r="B819" s="11"/>
      <c r="C819" s="11"/>
      <c r="D819" s="11"/>
      <c r="E819" s="12"/>
      <c r="F819" s="11"/>
    </row>
    <row r="820">
      <c r="A820" s="11"/>
      <c r="B820" s="11"/>
      <c r="C820" s="11"/>
      <c r="D820" s="11"/>
      <c r="E820" s="12"/>
      <c r="F820" s="11"/>
    </row>
    <row r="821">
      <c r="A821" s="11"/>
      <c r="B821" s="11"/>
      <c r="C821" s="11"/>
      <c r="D821" s="11"/>
      <c r="E821" s="12"/>
      <c r="F821" s="11"/>
    </row>
    <row r="822">
      <c r="A822" s="11"/>
      <c r="B822" s="11"/>
      <c r="C822" s="11"/>
      <c r="D822" s="11"/>
      <c r="E822" s="12"/>
      <c r="F822" s="11"/>
    </row>
    <row r="823">
      <c r="A823" s="11"/>
      <c r="B823" s="11"/>
      <c r="C823" s="11"/>
      <c r="D823" s="11"/>
      <c r="E823" s="12"/>
      <c r="F823" s="11"/>
    </row>
    <row r="824">
      <c r="A824" s="11"/>
      <c r="B824" s="11"/>
      <c r="C824" s="11"/>
      <c r="D824" s="11"/>
      <c r="E824" s="12"/>
      <c r="F824" s="11"/>
    </row>
    <row r="825">
      <c r="A825" s="11"/>
      <c r="B825" s="11"/>
      <c r="C825" s="11"/>
      <c r="D825" s="11"/>
      <c r="E825" s="12"/>
      <c r="F825" s="11"/>
    </row>
    <row r="826">
      <c r="A826" s="11"/>
      <c r="B826" s="11"/>
      <c r="C826" s="11"/>
      <c r="D826" s="11"/>
      <c r="E826" s="12"/>
      <c r="F826" s="11"/>
    </row>
    <row r="827">
      <c r="A827" s="11"/>
      <c r="B827" s="11"/>
      <c r="C827" s="11"/>
      <c r="D827" s="11"/>
      <c r="E827" s="12"/>
      <c r="F827" s="11"/>
    </row>
    <row r="828">
      <c r="A828" s="11"/>
      <c r="B828" s="11"/>
      <c r="C828" s="11"/>
      <c r="D828" s="11"/>
      <c r="E828" s="12"/>
      <c r="F828" s="11"/>
    </row>
    <row r="829">
      <c r="A829" s="11"/>
      <c r="B829" s="11"/>
      <c r="C829" s="11"/>
      <c r="D829" s="11"/>
      <c r="E829" s="12"/>
      <c r="F829" s="11"/>
    </row>
    <row r="830">
      <c r="A830" s="11"/>
      <c r="B830" s="11"/>
      <c r="C830" s="11"/>
      <c r="D830" s="11"/>
      <c r="E830" s="12"/>
      <c r="F830" s="11"/>
    </row>
    <row r="831">
      <c r="A831" s="11"/>
      <c r="B831" s="11"/>
      <c r="C831" s="11"/>
      <c r="D831" s="11"/>
      <c r="E831" s="12"/>
      <c r="F831" s="11"/>
    </row>
    <row r="832">
      <c r="A832" s="11"/>
      <c r="B832" s="11"/>
      <c r="C832" s="11"/>
      <c r="D832" s="11"/>
      <c r="E832" s="12"/>
      <c r="F832" s="11"/>
    </row>
    <row r="833">
      <c r="A833" s="11"/>
      <c r="B833" s="11"/>
      <c r="C833" s="11"/>
      <c r="D833" s="11"/>
      <c r="E833" s="12"/>
      <c r="F833" s="11"/>
    </row>
    <row r="834">
      <c r="A834" s="11"/>
      <c r="B834" s="11"/>
      <c r="C834" s="11"/>
      <c r="D834" s="11"/>
      <c r="E834" s="12"/>
      <c r="F834" s="11"/>
    </row>
    <row r="835">
      <c r="A835" s="11"/>
      <c r="B835" s="11"/>
      <c r="C835" s="11"/>
      <c r="D835" s="11"/>
      <c r="E835" s="12"/>
      <c r="F835" s="11"/>
    </row>
    <row r="836">
      <c r="A836" s="11"/>
      <c r="B836" s="11"/>
      <c r="C836" s="11"/>
      <c r="D836" s="11"/>
      <c r="E836" s="12"/>
      <c r="F836" s="11"/>
    </row>
    <row r="837">
      <c r="A837" s="11"/>
      <c r="B837" s="11"/>
      <c r="C837" s="11"/>
      <c r="D837" s="11"/>
      <c r="E837" s="12"/>
      <c r="F837" s="11"/>
    </row>
    <row r="838">
      <c r="A838" s="11"/>
      <c r="B838" s="11"/>
      <c r="C838" s="11"/>
      <c r="D838" s="11"/>
      <c r="E838" s="12"/>
      <c r="F838" s="11"/>
    </row>
    <row r="839">
      <c r="A839" s="11"/>
      <c r="B839" s="11"/>
      <c r="C839" s="11"/>
      <c r="D839" s="11"/>
      <c r="E839" s="12"/>
      <c r="F839" s="11"/>
    </row>
    <row r="840">
      <c r="A840" s="11"/>
      <c r="B840" s="11"/>
      <c r="C840" s="11"/>
      <c r="D840" s="11"/>
      <c r="E840" s="12"/>
      <c r="F840" s="11"/>
    </row>
    <row r="841">
      <c r="A841" s="11"/>
      <c r="B841" s="11"/>
      <c r="C841" s="11"/>
      <c r="D841" s="11"/>
      <c r="E841" s="12"/>
      <c r="F841" s="11"/>
    </row>
    <row r="842">
      <c r="A842" s="11"/>
      <c r="B842" s="11"/>
      <c r="C842" s="11"/>
      <c r="D842" s="11"/>
      <c r="E842" s="12"/>
      <c r="F842" s="11"/>
    </row>
    <row r="843">
      <c r="A843" s="11"/>
      <c r="B843" s="11"/>
      <c r="C843" s="11"/>
      <c r="D843" s="11"/>
      <c r="E843" s="12"/>
      <c r="F843" s="11"/>
    </row>
    <row r="844">
      <c r="A844" s="11"/>
      <c r="B844" s="11"/>
      <c r="C844" s="11"/>
      <c r="D844" s="11"/>
      <c r="E844" s="12"/>
      <c r="F844" s="11"/>
    </row>
    <row r="845">
      <c r="A845" s="11"/>
      <c r="B845" s="11"/>
      <c r="C845" s="11"/>
      <c r="D845" s="11"/>
      <c r="E845" s="12"/>
      <c r="F845" s="11"/>
    </row>
    <row r="846">
      <c r="A846" s="11"/>
      <c r="B846" s="11"/>
      <c r="C846" s="11"/>
      <c r="D846" s="11"/>
      <c r="E846" s="12"/>
      <c r="F846" s="11"/>
    </row>
    <row r="847">
      <c r="A847" s="11"/>
      <c r="B847" s="11"/>
      <c r="C847" s="11"/>
      <c r="D847" s="11"/>
      <c r="E847" s="12"/>
      <c r="F847" s="11"/>
    </row>
    <row r="848">
      <c r="A848" s="11"/>
      <c r="B848" s="11"/>
      <c r="C848" s="11"/>
      <c r="D848" s="11"/>
      <c r="E848" s="12"/>
      <c r="F848" s="11"/>
    </row>
    <row r="849">
      <c r="A849" s="11"/>
      <c r="B849" s="11"/>
      <c r="C849" s="11"/>
      <c r="D849" s="11"/>
      <c r="E849" s="12"/>
      <c r="F849" s="11"/>
    </row>
    <row r="850">
      <c r="A850" s="11"/>
      <c r="B850" s="11"/>
      <c r="C850" s="11"/>
      <c r="D850" s="11"/>
      <c r="E850" s="12"/>
      <c r="F850" s="11"/>
    </row>
    <row r="851">
      <c r="A851" s="11"/>
      <c r="B851" s="11"/>
      <c r="C851" s="11"/>
      <c r="D851" s="11"/>
      <c r="E851" s="12"/>
      <c r="F851" s="11"/>
    </row>
    <row r="852">
      <c r="A852" s="11"/>
      <c r="B852" s="11"/>
      <c r="C852" s="11"/>
      <c r="D852" s="11"/>
      <c r="E852" s="12"/>
      <c r="F852" s="11"/>
    </row>
    <row r="853">
      <c r="A853" s="11"/>
      <c r="B853" s="11"/>
      <c r="C853" s="11"/>
      <c r="D853" s="11"/>
      <c r="E853" s="12"/>
      <c r="F853" s="11"/>
    </row>
    <row r="854">
      <c r="A854" s="11"/>
      <c r="B854" s="11"/>
      <c r="C854" s="11"/>
      <c r="D854" s="11"/>
      <c r="E854" s="12"/>
      <c r="F854" s="11"/>
    </row>
    <row r="855">
      <c r="A855" s="11"/>
      <c r="B855" s="11"/>
      <c r="C855" s="11"/>
      <c r="D855" s="11"/>
      <c r="E855" s="12"/>
      <c r="F855" s="11"/>
    </row>
    <row r="856">
      <c r="A856" s="11"/>
      <c r="B856" s="11"/>
      <c r="C856" s="11"/>
      <c r="D856" s="11"/>
      <c r="E856" s="12"/>
      <c r="F856" s="11"/>
    </row>
    <row r="857">
      <c r="A857" s="11"/>
      <c r="B857" s="11"/>
      <c r="C857" s="11"/>
      <c r="D857" s="11"/>
      <c r="E857" s="12"/>
      <c r="F857" s="11"/>
    </row>
    <row r="858">
      <c r="A858" s="11"/>
      <c r="B858" s="11"/>
      <c r="C858" s="11"/>
      <c r="D858" s="11"/>
      <c r="E858" s="12"/>
      <c r="F858" s="11"/>
    </row>
    <row r="859">
      <c r="A859" s="11"/>
      <c r="B859" s="11"/>
      <c r="C859" s="11"/>
      <c r="D859" s="11"/>
      <c r="E859" s="12"/>
      <c r="F859" s="11"/>
    </row>
    <row r="860">
      <c r="A860" s="11"/>
      <c r="B860" s="11"/>
      <c r="C860" s="11"/>
      <c r="D860" s="11"/>
      <c r="E860" s="12"/>
      <c r="F860" s="11"/>
    </row>
    <row r="861">
      <c r="A861" s="11"/>
      <c r="B861" s="11"/>
      <c r="C861" s="11"/>
      <c r="D861" s="11"/>
      <c r="E861" s="12"/>
      <c r="F861" s="11"/>
    </row>
    <row r="862">
      <c r="A862" s="11"/>
      <c r="B862" s="11"/>
      <c r="C862" s="11"/>
      <c r="D862" s="11"/>
      <c r="E862" s="12"/>
      <c r="F862" s="11"/>
    </row>
    <row r="863">
      <c r="A863" s="11"/>
      <c r="B863" s="11"/>
      <c r="C863" s="11"/>
      <c r="D863" s="11"/>
      <c r="E863" s="12"/>
      <c r="F863" s="11"/>
    </row>
    <row r="864">
      <c r="A864" s="11"/>
      <c r="B864" s="11"/>
      <c r="C864" s="11"/>
      <c r="D864" s="11"/>
      <c r="E864" s="12"/>
      <c r="F864" s="11"/>
    </row>
    <row r="865">
      <c r="A865" s="11"/>
      <c r="B865" s="11"/>
      <c r="C865" s="11"/>
      <c r="D865" s="11"/>
      <c r="E865" s="12"/>
      <c r="F865" s="11"/>
    </row>
    <row r="866">
      <c r="A866" s="11"/>
      <c r="B866" s="11"/>
      <c r="C866" s="11"/>
      <c r="D866" s="11"/>
      <c r="E866" s="12"/>
      <c r="F866" s="11"/>
    </row>
    <row r="867">
      <c r="A867" s="11"/>
      <c r="B867" s="11"/>
      <c r="C867" s="11"/>
      <c r="D867" s="11"/>
      <c r="E867" s="12"/>
      <c r="F867" s="11"/>
    </row>
    <row r="868">
      <c r="A868" s="11"/>
      <c r="B868" s="11"/>
      <c r="C868" s="11"/>
      <c r="D868" s="11"/>
      <c r="E868" s="12"/>
      <c r="F868" s="11"/>
    </row>
    <row r="869">
      <c r="A869" s="11"/>
      <c r="B869" s="11"/>
      <c r="C869" s="11"/>
      <c r="D869" s="11"/>
      <c r="E869" s="12"/>
      <c r="F869" s="11"/>
    </row>
    <row r="870">
      <c r="A870" s="11"/>
      <c r="B870" s="11"/>
      <c r="C870" s="11"/>
      <c r="D870" s="11"/>
      <c r="E870" s="12"/>
      <c r="F870" s="11"/>
    </row>
    <row r="871">
      <c r="A871" s="11"/>
      <c r="B871" s="11"/>
      <c r="C871" s="11"/>
      <c r="D871" s="11"/>
      <c r="E871" s="12"/>
      <c r="F871" s="11"/>
    </row>
    <row r="872">
      <c r="A872" s="11"/>
      <c r="B872" s="11"/>
      <c r="C872" s="11"/>
      <c r="D872" s="11"/>
      <c r="E872" s="12"/>
      <c r="F872" s="11"/>
    </row>
    <row r="873">
      <c r="A873" s="11"/>
      <c r="B873" s="11"/>
      <c r="C873" s="11"/>
      <c r="D873" s="11"/>
      <c r="E873" s="12"/>
      <c r="F873" s="11"/>
    </row>
    <row r="874">
      <c r="A874" s="11"/>
      <c r="B874" s="11"/>
      <c r="C874" s="11"/>
      <c r="D874" s="11"/>
      <c r="E874" s="12"/>
      <c r="F874" s="11"/>
    </row>
    <row r="875">
      <c r="A875" s="11"/>
      <c r="B875" s="11"/>
      <c r="C875" s="11"/>
      <c r="D875" s="11"/>
      <c r="E875" s="12"/>
      <c r="F875" s="11"/>
    </row>
    <row r="876">
      <c r="A876" s="11"/>
      <c r="B876" s="11"/>
      <c r="C876" s="11"/>
      <c r="D876" s="11"/>
      <c r="E876" s="12"/>
      <c r="F876" s="11"/>
    </row>
    <row r="877">
      <c r="A877" s="11"/>
      <c r="B877" s="11"/>
      <c r="C877" s="11"/>
      <c r="D877" s="11"/>
      <c r="E877" s="12"/>
      <c r="F877" s="11"/>
    </row>
    <row r="878">
      <c r="A878" s="11"/>
      <c r="B878" s="11"/>
      <c r="C878" s="11"/>
      <c r="D878" s="11"/>
      <c r="E878" s="12"/>
      <c r="F878" s="11"/>
    </row>
    <row r="879">
      <c r="A879" s="11"/>
      <c r="B879" s="11"/>
      <c r="C879" s="11"/>
      <c r="D879" s="11"/>
      <c r="E879" s="12"/>
      <c r="F879" s="11"/>
    </row>
    <row r="880">
      <c r="A880" s="11"/>
      <c r="B880" s="11"/>
      <c r="C880" s="11"/>
      <c r="D880" s="11"/>
      <c r="E880" s="12"/>
      <c r="F880" s="11"/>
    </row>
    <row r="881">
      <c r="A881" s="11"/>
      <c r="B881" s="11"/>
      <c r="C881" s="11"/>
      <c r="D881" s="11"/>
      <c r="E881" s="12"/>
      <c r="F881" s="11"/>
    </row>
    <row r="882">
      <c r="A882" s="11"/>
      <c r="B882" s="11"/>
      <c r="C882" s="11"/>
      <c r="D882" s="11"/>
      <c r="E882" s="12"/>
      <c r="F882" s="11"/>
    </row>
    <row r="883">
      <c r="A883" s="11"/>
      <c r="B883" s="11"/>
      <c r="C883" s="11"/>
      <c r="D883" s="11"/>
      <c r="E883" s="12"/>
      <c r="F883" s="11"/>
    </row>
    <row r="884">
      <c r="A884" s="11"/>
      <c r="B884" s="11"/>
      <c r="C884" s="11"/>
      <c r="D884" s="11"/>
      <c r="E884" s="12"/>
      <c r="F884" s="11"/>
    </row>
    <row r="885">
      <c r="A885" s="11"/>
      <c r="B885" s="11"/>
      <c r="C885" s="11"/>
      <c r="D885" s="11"/>
      <c r="E885" s="12"/>
      <c r="F885" s="11"/>
    </row>
    <row r="886">
      <c r="A886" s="11"/>
      <c r="B886" s="11"/>
      <c r="C886" s="11"/>
      <c r="D886" s="11"/>
      <c r="E886" s="12"/>
      <c r="F886" s="11"/>
    </row>
    <row r="887">
      <c r="A887" s="11"/>
      <c r="B887" s="11"/>
      <c r="C887" s="11"/>
      <c r="D887" s="11"/>
      <c r="E887" s="12"/>
      <c r="F887" s="11"/>
    </row>
    <row r="888">
      <c r="A888" s="11"/>
      <c r="B888" s="11"/>
      <c r="C888" s="11"/>
      <c r="D888" s="11"/>
      <c r="E888" s="12"/>
      <c r="F888" s="11"/>
    </row>
    <row r="889">
      <c r="A889" s="11"/>
      <c r="B889" s="11"/>
      <c r="C889" s="11"/>
      <c r="D889" s="11"/>
      <c r="E889" s="12"/>
      <c r="F889" s="11"/>
    </row>
    <row r="890">
      <c r="A890" s="11"/>
      <c r="B890" s="11"/>
      <c r="C890" s="11"/>
      <c r="D890" s="11"/>
      <c r="E890" s="12"/>
      <c r="F890" s="11"/>
    </row>
    <row r="891">
      <c r="A891" s="11"/>
      <c r="B891" s="11"/>
      <c r="C891" s="11"/>
      <c r="D891" s="11"/>
      <c r="E891" s="12"/>
      <c r="F891" s="11"/>
    </row>
    <row r="892">
      <c r="A892" s="11"/>
      <c r="B892" s="11"/>
      <c r="C892" s="11"/>
      <c r="D892" s="11"/>
      <c r="E892" s="12"/>
      <c r="F892" s="11"/>
    </row>
    <row r="893">
      <c r="A893" s="11"/>
      <c r="B893" s="11"/>
      <c r="C893" s="11"/>
      <c r="D893" s="11"/>
      <c r="E893" s="12"/>
      <c r="F893" s="11"/>
    </row>
    <row r="894">
      <c r="A894" s="11"/>
      <c r="B894" s="11"/>
      <c r="C894" s="11"/>
      <c r="D894" s="11"/>
      <c r="E894" s="12"/>
      <c r="F894" s="11"/>
    </row>
    <row r="895">
      <c r="A895" s="11"/>
      <c r="B895" s="11"/>
      <c r="C895" s="11"/>
      <c r="D895" s="11"/>
      <c r="E895" s="12"/>
      <c r="F895" s="11"/>
    </row>
    <row r="896">
      <c r="A896" s="11"/>
      <c r="B896" s="11"/>
      <c r="C896" s="11"/>
      <c r="D896" s="11"/>
      <c r="E896" s="12"/>
      <c r="F896" s="11"/>
    </row>
    <row r="897">
      <c r="A897" s="11"/>
      <c r="B897" s="11"/>
      <c r="C897" s="11"/>
      <c r="D897" s="11"/>
      <c r="E897" s="12"/>
      <c r="F897" s="11"/>
    </row>
    <row r="898">
      <c r="A898" s="11"/>
      <c r="B898" s="11"/>
      <c r="C898" s="11"/>
      <c r="D898" s="11"/>
      <c r="E898" s="12"/>
      <c r="F898" s="11"/>
    </row>
    <row r="899">
      <c r="A899" s="11"/>
      <c r="B899" s="11"/>
      <c r="C899" s="11"/>
      <c r="D899" s="11"/>
      <c r="E899" s="12"/>
      <c r="F899" s="11"/>
    </row>
    <row r="900">
      <c r="A900" s="11"/>
      <c r="B900" s="11"/>
      <c r="C900" s="11"/>
      <c r="D900" s="11"/>
      <c r="E900" s="12"/>
      <c r="F900" s="11"/>
    </row>
    <row r="901">
      <c r="A901" s="11"/>
      <c r="B901" s="11"/>
      <c r="C901" s="11"/>
      <c r="D901" s="11"/>
      <c r="E901" s="12"/>
      <c r="F901" s="11"/>
    </row>
    <row r="902">
      <c r="A902" s="11"/>
      <c r="B902" s="11"/>
      <c r="C902" s="11"/>
      <c r="D902" s="11"/>
      <c r="E902" s="12"/>
      <c r="F902" s="11"/>
    </row>
    <row r="903">
      <c r="A903" s="11"/>
      <c r="B903" s="11"/>
      <c r="C903" s="11"/>
      <c r="D903" s="11"/>
      <c r="E903" s="12"/>
      <c r="F903" s="11"/>
    </row>
    <row r="904">
      <c r="A904" s="11"/>
      <c r="B904" s="11"/>
      <c r="C904" s="11"/>
      <c r="D904" s="11"/>
      <c r="E904" s="12"/>
      <c r="F904" s="11"/>
    </row>
    <row r="905">
      <c r="A905" s="11"/>
      <c r="B905" s="11"/>
      <c r="C905" s="11"/>
      <c r="D905" s="11"/>
      <c r="E905" s="12"/>
      <c r="F905" s="11"/>
    </row>
    <row r="906">
      <c r="A906" s="11"/>
      <c r="B906" s="11"/>
      <c r="C906" s="11"/>
      <c r="D906" s="11"/>
      <c r="E906" s="12"/>
      <c r="F906" s="11"/>
    </row>
    <row r="907">
      <c r="A907" s="11"/>
      <c r="B907" s="11"/>
      <c r="C907" s="11"/>
      <c r="D907" s="11"/>
      <c r="E907" s="12"/>
      <c r="F907" s="11"/>
    </row>
    <row r="908">
      <c r="A908" s="11"/>
      <c r="B908" s="11"/>
      <c r="C908" s="11"/>
      <c r="D908" s="11"/>
      <c r="E908" s="12"/>
      <c r="F908" s="11"/>
    </row>
    <row r="909">
      <c r="A909" s="11"/>
      <c r="B909" s="11"/>
      <c r="C909" s="11"/>
      <c r="D909" s="11"/>
      <c r="E909" s="12"/>
      <c r="F909" s="11"/>
    </row>
    <row r="910">
      <c r="A910" s="11"/>
      <c r="B910" s="11"/>
      <c r="C910" s="11"/>
      <c r="D910" s="11"/>
      <c r="E910" s="12"/>
      <c r="F910" s="11"/>
    </row>
    <row r="911">
      <c r="A911" s="11"/>
      <c r="B911" s="11"/>
      <c r="C911" s="11"/>
      <c r="D911" s="11"/>
      <c r="E911" s="12"/>
      <c r="F911" s="11"/>
    </row>
    <row r="912">
      <c r="A912" s="11"/>
      <c r="B912" s="11"/>
      <c r="C912" s="11"/>
      <c r="D912" s="11"/>
      <c r="E912" s="12"/>
      <c r="F912" s="11"/>
    </row>
    <row r="913">
      <c r="A913" s="11"/>
      <c r="B913" s="11"/>
      <c r="C913" s="11"/>
      <c r="D913" s="11"/>
      <c r="E913" s="12"/>
      <c r="F913" s="11"/>
    </row>
    <row r="914">
      <c r="A914" s="11"/>
      <c r="B914" s="11"/>
      <c r="C914" s="11"/>
      <c r="D914" s="11"/>
      <c r="E914" s="12"/>
      <c r="F914" s="11"/>
    </row>
    <row r="915">
      <c r="A915" s="11"/>
      <c r="B915" s="11"/>
      <c r="C915" s="11"/>
      <c r="D915" s="11"/>
      <c r="E915" s="12"/>
      <c r="F915" s="11"/>
    </row>
    <row r="916">
      <c r="A916" s="11"/>
      <c r="B916" s="11"/>
      <c r="C916" s="11"/>
      <c r="D916" s="11"/>
      <c r="E916" s="12"/>
      <c r="F916" s="11"/>
    </row>
    <row r="917">
      <c r="A917" s="11"/>
      <c r="B917" s="11"/>
      <c r="C917" s="11"/>
      <c r="D917" s="11"/>
      <c r="E917" s="12"/>
      <c r="F917" s="11"/>
    </row>
    <row r="918">
      <c r="A918" s="11"/>
      <c r="B918" s="11"/>
      <c r="C918" s="11"/>
      <c r="D918" s="11"/>
      <c r="E918" s="12"/>
      <c r="F918" s="11"/>
    </row>
    <row r="919">
      <c r="A919" s="11"/>
      <c r="B919" s="11"/>
      <c r="C919" s="11"/>
      <c r="D919" s="11"/>
      <c r="E919" s="12"/>
      <c r="F919" s="11"/>
    </row>
    <row r="920">
      <c r="A920" s="11"/>
      <c r="B920" s="11"/>
      <c r="C920" s="11"/>
      <c r="D920" s="11"/>
      <c r="E920" s="12"/>
      <c r="F920" s="11"/>
    </row>
    <row r="921">
      <c r="A921" s="11"/>
      <c r="B921" s="11"/>
      <c r="C921" s="11"/>
      <c r="D921" s="11"/>
      <c r="E921" s="12"/>
      <c r="F921" s="11"/>
    </row>
    <row r="922">
      <c r="A922" s="11"/>
      <c r="B922" s="11"/>
      <c r="C922" s="11"/>
      <c r="D922" s="11"/>
      <c r="E922" s="12"/>
      <c r="F922" s="11"/>
    </row>
    <row r="923">
      <c r="A923" s="11"/>
      <c r="B923" s="11"/>
      <c r="C923" s="11"/>
      <c r="D923" s="11"/>
      <c r="E923" s="12"/>
      <c r="F923" s="11"/>
    </row>
    <row r="924">
      <c r="A924" s="11"/>
      <c r="B924" s="11"/>
      <c r="C924" s="11"/>
      <c r="D924" s="11"/>
      <c r="E924" s="12"/>
      <c r="F924" s="11"/>
    </row>
    <row r="925">
      <c r="A925" s="11"/>
      <c r="B925" s="11"/>
      <c r="C925" s="11"/>
      <c r="D925" s="11"/>
      <c r="E925" s="12"/>
      <c r="F925" s="11"/>
    </row>
    <row r="926">
      <c r="A926" s="11"/>
      <c r="B926" s="11"/>
      <c r="C926" s="11"/>
      <c r="D926" s="11"/>
      <c r="E926" s="12"/>
      <c r="F926" s="11"/>
    </row>
    <row r="927">
      <c r="A927" s="11"/>
      <c r="B927" s="11"/>
      <c r="C927" s="11"/>
      <c r="D927" s="11"/>
      <c r="E927" s="12"/>
      <c r="F927" s="11"/>
    </row>
    <row r="928">
      <c r="A928" s="11"/>
      <c r="B928" s="11"/>
      <c r="C928" s="11"/>
      <c r="D928" s="11"/>
      <c r="E928" s="12"/>
      <c r="F928" s="11"/>
    </row>
    <row r="929">
      <c r="A929" s="11"/>
      <c r="B929" s="11"/>
      <c r="C929" s="11"/>
      <c r="D929" s="11"/>
      <c r="E929" s="12"/>
      <c r="F929" s="11"/>
    </row>
    <row r="930">
      <c r="A930" s="11"/>
      <c r="B930" s="11"/>
      <c r="C930" s="11"/>
      <c r="D930" s="11"/>
      <c r="E930" s="12"/>
      <c r="F930" s="11"/>
    </row>
    <row r="931">
      <c r="A931" s="11"/>
      <c r="B931" s="11"/>
      <c r="C931" s="11"/>
      <c r="D931" s="11"/>
      <c r="E931" s="12"/>
      <c r="F931" s="11"/>
    </row>
    <row r="932">
      <c r="A932" s="11"/>
      <c r="B932" s="11"/>
      <c r="C932" s="11"/>
      <c r="D932" s="11"/>
      <c r="E932" s="12"/>
      <c r="F932" s="11"/>
    </row>
    <row r="933">
      <c r="A933" s="11"/>
      <c r="B933" s="11"/>
      <c r="C933" s="11"/>
      <c r="D933" s="11"/>
      <c r="E933" s="12"/>
      <c r="F933" s="11"/>
    </row>
    <row r="934">
      <c r="A934" s="11"/>
      <c r="B934" s="11"/>
      <c r="C934" s="11"/>
      <c r="D934" s="11"/>
      <c r="E934" s="12"/>
      <c r="F934" s="11"/>
    </row>
    <row r="935">
      <c r="A935" s="11"/>
      <c r="B935" s="11"/>
      <c r="C935" s="11"/>
      <c r="D935" s="11"/>
      <c r="E935" s="12"/>
      <c r="F935" s="11"/>
    </row>
    <row r="936">
      <c r="A936" s="11"/>
      <c r="B936" s="11"/>
      <c r="C936" s="11"/>
      <c r="D936" s="11"/>
      <c r="E936" s="12"/>
      <c r="F936" s="11"/>
    </row>
    <row r="937">
      <c r="A937" s="11"/>
      <c r="B937" s="11"/>
      <c r="C937" s="11"/>
      <c r="D937" s="11"/>
      <c r="E937" s="12"/>
      <c r="F937" s="11"/>
    </row>
    <row r="938">
      <c r="A938" s="11"/>
      <c r="B938" s="11"/>
      <c r="C938" s="11"/>
      <c r="D938" s="11"/>
      <c r="E938" s="12"/>
      <c r="F938" s="11"/>
    </row>
    <row r="939">
      <c r="A939" s="11"/>
      <c r="B939" s="11"/>
      <c r="C939" s="11"/>
      <c r="D939" s="11"/>
      <c r="E939" s="12"/>
      <c r="F939" s="11"/>
    </row>
    <row r="940">
      <c r="A940" s="11"/>
      <c r="B940" s="11"/>
      <c r="C940" s="11"/>
      <c r="D940" s="11"/>
      <c r="E940" s="12"/>
      <c r="F940" s="11"/>
    </row>
    <row r="941">
      <c r="A941" s="11"/>
      <c r="B941" s="11"/>
      <c r="C941" s="11"/>
      <c r="D941" s="11"/>
      <c r="E941" s="12"/>
      <c r="F941" s="11"/>
    </row>
    <row r="942">
      <c r="A942" s="11"/>
      <c r="B942" s="11"/>
      <c r="C942" s="11"/>
      <c r="D942" s="11"/>
      <c r="E942" s="12"/>
      <c r="F942" s="11"/>
    </row>
    <row r="943">
      <c r="A943" s="11"/>
      <c r="B943" s="11"/>
      <c r="C943" s="11"/>
      <c r="D943" s="11"/>
      <c r="E943" s="12"/>
      <c r="F943" s="11"/>
    </row>
    <row r="944">
      <c r="A944" s="11"/>
      <c r="B944" s="11"/>
      <c r="C944" s="11"/>
      <c r="D944" s="11"/>
      <c r="E944" s="12"/>
      <c r="F944" s="11"/>
    </row>
    <row r="945">
      <c r="A945" s="11"/>
      <c r="B945" s="11"/>
      <c r="C945" s="11"/>
      <c r="D945" s="11"/>
      <c r="E945" s="12"/>
      <c r="F945" s="11"/>
    </row>
    <row r="946">
      <c r="A946" s="11"/>
      <c r="B946" s="11"/>
      <c r="C946" s="11"/>
      <c r="D946" s="11"/>
      <c r="E946" s="12"/>
      <c r="F946" s="11"/>
    </row>
    <row r="947">
      <c r="A947" s="11"/>
      <c r="B947" s="11"/>
      <c r="C947" s="11"/>
      <c r="D947" s="11"/>
      <c r="E947" s="12"/>
      <c r="F947" s="11"/>
    </row>
    <row r="948">
      <c r="A948" s="11"/>
      <c r="B948" s="11"/>
      <c r="C948" s="11"/>
      <c r="D948" s="11"/>
      <c r="E948" s="12"/>
      <c r="F948" s="11"/>
    </row>
    <row r="949">
      <c r="A949" s="11"/>
      <c r="B949" s="11"/>
      <c r="C949" s="11"/>
      <c r="D949" s="11"/>
      <c r="E949" s="12"/>
      <c r="F949" s="11"/>
    </row>
    <row r="950">
      <c r="A950" s="11"/>
      <c r="B950" s="11"/>
      <c r="C950" s="11"/>
      <c r="D950" s="11"/>
      <c r="E950" s="12"/>
      <c r="F950" s="11"/>
    </row>
    <row r="951">
      <c r="A951" s="11"/>
      <c r="B951" s="11"/>
      <c r="C951" s="11"/>
      <c r="D951" s="11"/>
      <c r="E951" s="12"/>
      <c r="F951" s="11"/>
    </row>
    <row r="952">
      <c r="A952" s="11"/>
      <c r="B952" s="11"/>
      <c r="C952" s="11"/>
      <c r="D952" s="11"/>
      <c r="E952" s="12"/>
      <c r="F952" s="11"/>
    </row>
    <row r="953">
      <c r="A953" s="11"/>
      <c r="B953" s="11"/>
      <c r="C953" s="11"/>
      <c r="D953" s="11"/>
      <c r="E953" s="12"/>
      <c r="F953" s="11"/>
    </row>
    <row r="954">
      <c r="A954" s="11"/>
      <c r="B954" s="11"/>
      <c r="C954" s="11"/>
      <c r="D954" s="11"/>
      <c r="E954" s="12"/>
      <c r="F954" s="11"/>
    </row>
    <row r="955">
      <c r="A955" s="11"/>
      <c r="B955" s="11"/>
      <c r="C955" s="11"/>
      <c r="D955" s="11"/>
      <c r="E955" s="12"/>
      <c r="F955" s="11"/>
    </row>
    <row r="956">
      <c r="A956" s="11"/>
      <c r="B956" s="11"/>
      <c r="C956" s="11"/>
      <c r="D956" s="11"/>
      <c r="E956" s="12"/>
      <c r="F956" s="11"/>
    </row>
    <row r="957">
      <c r="A957" s="11"/>
      <c r="B957" s="11"/>
      <c r="C957" s="11"/>
      <c r="D957" s="11"/>
      <c r="E957" s="12"/>
      <c r="F957" s="11"/>
    </row>
    <row r="958">
      <c r="A958" s="11"/>
      <c r="B958" s="11"/>
      <c r="C958" s="11"/>
      <c r="D958" s="11"/>
      <c r="E958" s="12"/>
      <c r="F958" s="11"/>
    </row>
    <row r="959">
      <c r="A959" s="11"/>
      <c r="B959" s="11"/>
      <c r="C959" s="11"/>
      <c r="D959" s="11"/>
      <c r="E959" s="12"/>
      <c r="F959" s="11"/>
    </row>
    <row r="960">
      <c r="A960" s="11"/>
      <c r="B960" s="11"/>
      <c r="C960" s="11"/>
      <c r="D960" s="11"/>
      <c r="E960" s="12"/>
      <c r="F960" s="11"/>
    </row>
    <row r="961">
      <c r="A961" s="11"/>
      <c r="B961" s="11"/>
      <c r="C961" s="11"/>
      <c r="D961" s="11"/>
      <c r="E961" s="12"/>
      <c r="F961" s="11"/>
    </row>
    <row r="962">
      <c r="A962" s="11"/>
      <c r="B962" s="11"/>
      <c r="C962" s="11"/>
      <c r="D962" s="11"/>
      <c r="E962" s="12"/>
      <c r="F962" s="11"/>
    </row>
    <row r="963">
      <c r="A963" s="11"/>
      <c r="B963" s="11"/>
      <c r="C963" s="11"/>
      <c r="D963" s="11"/>
      <c r="E963" s="12"/>
      <c r="F963" s="11"/>
    </row>
    <row r="964">
      <c r="A964" s="11"/>
      <c r="B964" s="11"/>
      <c r="C964" s="11"/>
      <c r="D964" s="11"/>
      <c r="E964" s="12"/>
      <c r="F964" s="11"/>
    </row>
    <row r="965">
      <c r="A965" s="11"/>
      <c r="B965" s="11"/>
      <c r="C965" s="11"/>
      <c r="D965" s="11"/>
      <c r="E965" s="12"/>
      <c r="F965" s="11"/>
    </row>
    <row r="966">
      <c r="A966" s="11"/>
      <c r="B966" s="11"/>
      <c r="C966" s="11"/>
      <c r="D966" s="11"/>
      <c r="E966" s="12"/>
      <c r="F966" s="11"/>
    </row>
    <row r="967">
      <c r="A967" s="11"/>
      <c r="B967" s="11"/>
      <c r="C967" s="11"/>
      <c r="D967" s="11"/>
      <c r="E967" s="12"/>
      <c r="F967" s="11"/>
    </row>
    <row r="968">
      <c r="A968" s="11"/>
      <c r="B968" s="11"/>
      <c r="C968" s="11"/>
      <c r="D968" s="11"/>
      <c r="E968" s="12"/>
      <c r="F968" s="11"/>
    </row>
    <row r="969">
      <c r="A969" s="11"/>
      <c r="B969" s="11"/>
      <c r="C969" s="11"/>
      <c r="D969" s="11"/>
      <c r="E969" s="12"/>
      <c r="F969" s="11"/>
    </row>
    <row r="970">
      <c r="A970" s="11"/>
      <c r="B970" s="11"/>
      <c r="C970" s="11"/>
      <c r="D970" s="11"/>
      <c r="E970" s="12"/>
      <c r="F970" s="11"/>
    </row>
    <row r="971">
      <c r="A971" s="11"/>
      <c r="B971" s="11"/>
      <c r="C971" s="11"/>
      <c r="D971" s="11"/>
      <c r="E971" s="12"/>
      <c r="F971" s="11"/>
    </row>
    <row r="972">
      <c r="A972" s="11"/>
      <c r="B972" s="11"/>
      <c r="C972" s="11"/>
      <c r="D972" s="11"/>
      <c r="E972" s="12"/>
      <c r="F972" s="11"/>
    </row>
    <row r="973">
      <c r="A973" s="11"/>
      <c r="B973" s="11"/>
      <c r="C973" s="11"/>
      <c r="D973" s="11"/>
      <c r="E973" s="12"/>
      <c r="F973" s="11"/>
    </row>
    <row r="974">
      <c r="A974" s="11"/>
      <c r="B974" s="11"/>
      <c r="C974" s="11"/>
      <c r="D974" s="11"/>
      <c r="E974" s="12"/>
      <c r="F974" s="11"/>
    </row>
    <row r="975">
      <c r="A975" s="11"/>
      <c r="B975" s="11"/>
      <c r="C975" s="11"/>
      <c r="D975" s="11"/>
      <c r="E975" s="12"/>
      <c r="F975" s="11"/>
    </row>
    <row r="976">
      <c r="A976" s="11"/>
      <c r="B976" s="11"/>
      <c r="C976" s="11"/>
      <c r="D976" s="11"/>
      <c r="E976" s="12"/>
      <c r="F976" s="11"/>
    </row>
    <row r="977">
      <c r="A977" s="11"/>
      <c r="B977" s="11"/>
      <c r="C977" s="11"/>
      <c r="D977" s="11"/>
      <c r="E977" s="12"/>
      <c r="F977" s="11"/>
    </row>
    <row r="978">
      <c r="A978" s="11"/>
      <c r="B978" s="11"/>
      <c r="C978" s="11"/>
      <c r="D978" s="11"/>
      <c r="E978" s="12"/>
      <c r="F978" s="11"/>
    </row>
    <row r="979">
      <c r="A979" s="11"/>
      <c r="B979" s="11"/>
      <c r="C979" s="11"/>
      <c r="D979" s="11"/>
      <c r="E979" s="12"/>
      <c r="F979" s="11"/>
    </row>
    <row r="980">
      <c r="A980" s="11"/>
      <c r="B980" s="11"/>
      <c r="C980" s="11"/>
      <c r="D980" s="11"/>
      <c r="E980" s="12"/>
      <c r="F980" s="11"/>
    </row>
    <row r="981">
      <c r="A981" s="11"/>
      <c r="B981" s="11"/>
      <c r="C981" s="11"/>
      <c r="D981" s="11"/>
      <c r="E981" s="12"/>
      <c r="F981" s="11"/>
    </row>
    <row r="982">
      <c r="A982" s="11"/>
      <c r="B982" s="11"/>
      <c r="C982" s="11"/>
      <c r="D982" s="11"/>
      <c r="E982" s="12"/>
      <c r="F982" s="11"/>
    </row>
    <row r="983">
      <c r="A983" s="11"/>
      <c r="B983" s="11"/>
      <c r="C983" s="11"/>
      <c r="D983" s="11"/>
      <c r="E983" s="12"/>
      <c r="F983" s="11"/>
    </row>
    <row r="984">
      <c r="A984" s="11"/>
      <c r="B984" s="11"/>
      <c r="C984" s="11"/>
      <c r="D984" s="11"/>
      <c r="E984" s="12"/>
      <c r="F984" s="11"/>
    </row>
    <row r="985">
      <c r="A985" s="11"/>
      <c r="B985" s="11"/>
      <c r="C985" s="11"/>
      <c r="D985" s="11"/>
      <c r="E985" s="12"/>
      <c r="F985" s="11"/>
    </row>
    <row r="986">
      <c r="A986" s="11"/>
      <c r="B986" s="11"/>
      <c r="C986" s="11"/>
      <c r="D986" s="11"/>
      <c r="E986" s="12"/>
      <c r="F986" s="11"/>
    </row>
    <row r="987">
      <c r="A987" s="11"/>
      <c r="B987" s="11"/>
      <c r="C987" s="11"/>
      <c r="D987" s="11"/>
      <c r="E987" s="12"/>
      <c r="F987" s="11"/>
    </row>
    <row r="988">
      <c r="A988" s="11"/>
      <c r="B988" s="11"/>
      <c r="C988" s="11"/>
      <c r="D988" s="11"/>
      <c r="E988" s="12"/>
      <c r="F988" s="11"/>
    </row>
    <row r="989">
      <c r="A989" s="11"/>
      <c r="B989" s="11"/>
      <c r="C989" s="11"/>
      <c r="D989" s="11"/>
      <c r="E989" s="12"/>
      <c r="F989" s="11"/>
    </row>
    <row r="990">
      <c r="A990" s="11"/>
      <c r="B990" s="11"/>
      <c r="C990" s="11"/>
      <c r="D990" s="11"/>
      <c r="E990" s="12"/>
      <c r="F990" s="11"/>
    </row>
    <row r="991">
      <c r="A991" s="11"/>
      <c r="B991" s="11"/>
      <c r="C991" s="11"/>
      <c r="D991" s="11"/>
      <c r="E991" s="12"/>
      <c r="F991" s="11"/>
    </row>
    <row r="992">
      <c r="A992" s="11"/>
      <c r="B992" s="11"/>
      <c r="C992" s="11"/>
      <c r="D992" s="11"/>
      <c r="E992" s="12"/>
      <c r="F992" s="11"/>
    </row>
    <row r="993">
      <c r="A993" s="11"/>
      <c r="B993" s="11"/>
      <c r="C993" s="11"/>
      <c r="D993" s="11"/>
      <c r="E993" s="12"/>
      <c r="F993" s="11"/>
    </row>
    <row r="994">
      <c r="A994" s="11"/>
      <c r="B994" s="11"/>
      <c r="C994" s="11"/>
      <c r="D994" s="11"/>
      <c r="E994" s="12"/>
      <c r="F994" s="11"/>
    </row>
    <row r="995">
      <c r="A995" s="11"/>
      <c r="B995" s="11"/>
      <c r="C995" s="11"/>
      <c r="D995" s="11"/>
      <c r="E995" s="12"/>
      <c r="F995" s="11"/>
    </row>
    <row r="996">
      <c r="A996" s="11"/>
      <c r="B996" s="11"/>
      <c r="C996" s="11"/>
      <c r="D996" s="11"/>
      <c r="E996" s="12"/>
      <c r="F996" s="11"/>
    </row>
    <row r="997">
      <c r="A997" s="11"/>
      <c r="B997" s="11"/>
      <c r="C997" s="11"/>
      <c r="D997" s="11"/>
      <c r="E997" s="12"/>
      <c r="F997" s="11"/>
    </row>
    <row r="998">
      <c r="A998" s="11"/>
      <c r="B998" s="11"/>
      <c r="C998" s="11"/>
      <c r="D998" s="11"/>
      <c r="E998" s="12"/>
      <c r="F998" s="11"/>
    </row>
    <row r="999">
      <c r="A999" s="11"/>
      <c r="B999" s="11"/>
      <c r="C999" s="11"/>
      <c r="D999" s="11"/>
      <c r="E999" s="12"/>
      <c r="F999" s="11"/>
    </row>
    <row r="1000">
      <c r="A1000" s="11"/>
      <c r="B1000" s="11"/>
      <c r="C1000" s="11"/>
      <c r="D1000" s="11"/>
      <c r="E1000" s="12"/>
      <c r="F1000" s="11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328</v>
      </c>
      <c r="B1" s="1" t="s">
        <v>329</v>
      </c>
      <c r="C1" s="1" t="s">
        <v>330</v>
      </c>
      <c r="D1" s="1" t="s">
        <v>331</v>
      </c>
      <c r="E1" s="1" t="s">
        <v>210</v>
      </c>
      <c r="F1" s="1" t="s">
        <v>332</v>
      </c>
      <c r="G1" s="1" t="s">
        <v>333</v>
      </c>
      <c r="H1" s="1" t="s">
        <v>3</v>
      </c>
      <c r="I1" s="1" t="s">
        <v>48</v>
      </c>
      <c r="J1" s="1" t="s">
        <v>4</v>
      </c>
    </row>
    <row r="2" ht="16.5" customHeight="1">
      <c r="A2" s="1" t="s">
        <v>334</v>
      </c>
      <c r="B2" s="1" t="s">
        <v>335</v>
      </c>
      <c r="C2" s="13" t="str">
        <f t="array" ref="C2">IF($B2="","",IFERROR(XLOOKUP($B2,All_IDs!$B:$B,All_IDs!$C:$C),""))</f>
        <v>Bandage</v>
      </c>
      <c r="D2" s="13" t="str">
        <f t="array" ref="D2">IF($B2="","",IFERROR(XLOOKUP($B2,All_IDs!$B:$B,All_IDs!$A:$A),""))</f>
        <v>item_med_bandage</v>
      </c>
      <c r="E2" s="13" t="str">
        <f t="array" ref="E2">IF($B2="","",IFERROR(XLOOKUP($B2,All_IDs!$B:$B,All_IDs!$D:$D),""))</f>
        <v>Medicine</v>
      </c>
      <c r="F2" s="1">
        <v>150.0</v>
      </c>
      <c r="G2" s="1">
        <v>10.0</v>
      </c>
    </row>
    <row r="3">
      <c r="A3" s="1" t="s">
        <v>334</v>
      </c>
      <c r="B3" s="1" t="s">
        <v>336</v>
      </c>
      <c r="C3" s="13" t="str">
        <f t="array" ref="C3">IF($B3="","",IFERROR(XLOOKUP($B3,All_IDs!$B:$B,All_IDs!$C:$C),""))</f>
        <v>First-aid Kit</v>
      </c>
      <c r="D3" s="13" t="str">
        <f t="array" ref="D3">IF($B3="","",IFERROR(XLOOKUP($B3,All_IDs!$B:$B,All_IDs!$A:$A),""))</f>
        <v>item_med_kit</v>
      </c>
      <c r="E3" s="13" t="str">
        <f t="array" ref="E3">IF($B3="","",IFERROR(XLOOKUP($B3,All_IDs!$B:$B,All_IDs!$D:$D),""))</f>
        <v>Medicine</v>
      </c>
      <c r="F3" s="1">
        <v>500.0</v>
      </c>
      <c r="G3" s="1">
        <v>10.0</v>
      </c>
    </row>
    <row r="4">
      <c r="A4" s="1" t="s">
        <v>334</v>
      </c>
      <c r="B4" s="1" t="s">
        <v>337</v>
      </c>
      <c r="C4" s="13" t="str">
        <f t="array" ref="C4">IF($B4="","",IFERROR(XLOOKUP($B4,All_IDs!$B:$B,All_IDs!$C:$C),""))</f>
        <v>Hemostatic Syringe</v>
      </c>
      <c r="D4" s="13" t="str">
        <f t="array" ref="D4">IF($B4="","",IFERROR(XLOOKUP($B4,All_IDs!$B:$B,All_IDs!$A:$A),""))</f>
        <v>item_med_syringe</v>
      </c>
      <c r="E4" s="13" t="str">
        <f t="array" ref="E4">IF($B4="","",IFERROR(XLOOKUP($B4,All_IDs!$B:$B,All_IDs!$D:$D),""))</f>
        <v>Medicine</v>
      </c>
      <c r="F4" s="1">
        <v>1500.0</v>
      </c>
      <c r="G4" s="1">
        <v>5.0</v>
      </c>
    </row>
    <row r="5">
      <c r="A5" s="13"/>
      <c r="B5" s="13"/>
      <c r="C5" s="13" t="str">
        <f t="array" ref="C5">IF($B5="","",IFERROR(XLOOKUP($B5,All_IDs!$B:$B,All_IDs!$C:$C),""))</f>
        <v/>
      </c>
      <c r="D5" s="13" t="str">
        <f t="array" ref="D5">IF($B5="","",IFERROR(XLOOKUP($B5,All_IDs!$B:$B,All_IDs!$A:$A),""))</f>
        <v/>
      </c>
      <c r="E5" s="13" t="str">
        <f t="array" ref="E5">IF($B5="","",IFERROR(XLOOKUP($B5,All_IDs!$B:$B,All_IDs!$D:$D),""))</f>
        <v/>
      </c>
    </row>
    <row r="6">
      <c r="A6" s="13"/>
      <c r="B6" s="13"/>
      <c r="C6" s="13" t="str">
        <f t="array" ref="C6">IF($B6="","",IFERROR(XLOOKUP($B6,All_IDs!$B:$B,All_IDs!$C:$C),""))</f>
        <v/>
      </c>
      <c r="D6" s="13" t="str">
        <f t="array" ref="D6">IF($B6="","",IFERROR(XLOOKUP($B6,All_IDs!$B:$B,All_IDs!$A:$A),""))</f>
        <v/>
      </c>
      <c r="E6" s="13" t="str">
        <f t="array" ref="E6">IF($B6="","",IFERROR(XLOOKUP($B6,All_IDs!$B:$B,All_IDs!$D:$D),""))</f>
        <v/>
      </c>
    </row>
    <row r="7">
      <c r="A7" s="13"/>
      <c r="B7" s="13"/>
      <c r="C7" s="13" t="str">
        <f t="array" ref="C7">IF($B7="","",IFERROR(XLOOKUP($B7,All_IDs!$B:$B,All_IDs!$C:$C),""))</f>
        <v/>
      </c>
      <c r="D7" s="13" t="str">
        <f t="array" ref="D7">IF($B7="","",IFERROR(XLOOKUP($B7,All_IDs!$B:$B,All_IDs!$A:$A),""))</f>
        <v/>
      </c>
      <c r="E7" s="13" t="str">
        <f t="array" ref="E7">IF($B7="","",IFERROR(XLOOKUP($B7,All_IDs!$B:$B,All_IDs!$D:$D),""))</f>
        <v/>
      </c>
    </row>
    <row r="8">
      <c r="A8" s="13"/>
      <c r="B8" s="13"/>
      <c r="C8" s="13" t="str">
        <f t="array" ref="C8">IF($B8="","",IFERROR(XLOOKUP($B8,All_IDs!$B:$B,All_IDs!$C:$C),""))</f>
        <v/>
      </c>
      <c r="D8" s="13" t="str">
        <f t="array" ref="D8">IF($B8="","",IFERROR(XLOOKUP($B8,All_IDs!$B:$B,All_IDs!$A:$A),""))</f>
        <v/>
      </c>
      <c r="E8" s="13" t="str">
        <f t="array" ref="E8">IF($B8="","",IFERROR(XLOOKUP($B8,All_IDs!$B:$B,All_IDs!$D:$D),""))</f>
        <v/>
      </c>
    </row>
    <row r="9">
      <c r="A9" s="13"/>
      <c r="B9" s="13"/>
      <c r="C9" s="13" t="str">
        <f t="array" ref="C9">IF($B9="","",IFERROR(XLOOKUP($B9,All_IDs!$B:$B,All_IDs!$C:$C),""))</f>
        <v/>
      </c>
      <c r="D9" s="13" t="str">
        <f t="array" ref="D9">IF($B9="","",IFERROR(XLOOKUP($B9,All_IDs!$B:$B,All_IDs!$A:$A),""))</f>
        <v/>
      </c>
      <c r="E9" s="13" t="str">
        <f t="array" ref="E9">IF($B9="","",IFERROR(XLOOKUP($B9,All_IDs!$B:$B,All_IDs!$D:$D),""))</f>
        <v/>
      </c>
    </row>
    <row r="10">
      <c r="A10" s="13"/>
      <c r="B10" s="13"/>
      <c r="C10" s="13" t="str">
        <f t="array" ref="C10">IF($B10="","",IFERROR(XLOOKUP($B10,All_IDs!$B:$B,All_IDs!$C:$C),""))</f>
        <v/>
      </c>
      <c r="D10" s="13" t="str">
        <f t="array" ref="D10">IF($B10="","",IFERROR(XLOOKUP($B10,All_IDs!$B:$B,All_IDs!$A:$A),""))</f>
        <v/>
      </c>
      <c r="E10" s="13" t="str">
        <f t="array" ref="E10">IF($B10="","",IFERROR(XLOOKUP($B10,All_IDs!$B:$B,All_IDs!$D:$D),""))</f>
        <v/>
      </c>
    </row>
    <row r="11">
      <c r="A11" s="13"/>
      <c r="B11" s="13"/>
      <c r="C11" s="13" t="str">
        <f t="array" ref="C11">IF($B11="","",IFERROR(XLOOKUP($B11,All_IDs!$B:$B,All_IDs!$C:$C),""))</f>
        <v/>
      </c>
      <c r="D11" s="13" t="str">
        <f t="array" ref="D11">IF($B11="","",IFERROR(XLOOKUP($B11,All_IDs!$B:$B,All_IDs!$A:$A),""))</f>
        <v/>
      </c>
      <c r="E11" s="13" t="str">
        <f t="array" ref="E11">IF($B11="","",IFERROR(XLOOKUP($B11,All_IDs!$B:$B,All_IDs!$D:$D),""))</f>
        <v/>
      </c>
    </row>
    <row r="12">
      <c r="A12" s="13"/>
      <c r="B12" s="13"/>
      <c r="C12" s="13" t="str">
        <f t="array" ref="C12">IF($B12="","",IFERROR(XLOOKUP($B12,All_IDs!$B:$B,All_IDs!$C:$C),""))</f>
        <v/>
      </c>
      <c r="D12" s="13" t="str">
        <f t="array" ref="D12">IF($B12="","",IFERROR(XLOOKUP($B12,All_IDs!$B:$B,All_IDs!$A:$A),""))</f>
        <v/>
      </c>
      <c r="E12" s="13" t="str">
        <f t="array" ref="E12">IF($B12="","",IFERROR(XLOOKUP($B12,All_IDs!$B:$B,All_IDs!$D:$D),""))</f>
        <v/>
      </c>
    </row>
    <row r="13">
      <c r="A13" s="13"/>
      <c r="B13" s="13"/>
      <c r="C13" s="13" t="str">
        <f t="array" ref="C13">IF($B13="","",IFERROR(XLOOKUP($B13,All_IDs!$B:$B,All_IDs!$C:$C),""))</f>
        <v/>
      </c>
      <c r="D13" s="13" t="str">
        <f t="array" ref="D13">IF($B13="","",IFERROR(XLOOKUP($B13,All_IDs!$B:$B,All_IDs!$A:$A),""))</f>
        <v/>
      </c>
      <c r="E13" s="13" t="str">
        <f t="array" ref="E13">IF($B13="","",IFERROR(XLOOKUP($B13,All_IDs!$B:$B,All_IDs!$D:$D),""))</f>
        <v/>
      </c>
    </row>
    <row r="14">
      <c r="A14" s="13"/>
      <c r="B14" s="13"/>
      <c r="C14" s="13" t="str">
        <f t="array" ref="C14">IF($B14="","",IFERROR(XLOOKUP($B14,All_IDs!$B:$B,All_IDs!$C:$C),""))</f>
        <v/>
      </c>
      <c r="D14" s="13" t="str">
        <f t="array" ref="D14">IF($B14="","",IFERROR(XLOOKUP($B14,All_IDs!$B:$B,All_IDs!$A:$A),""))</f>
        <v/>
      </c>
      <c r="E14" s="13" t="str">
        <f t="array" ref="E14">IF($B14="","",IFERROR(XLOOKUP($B14,All_IDs!$B:$B,All_IDs!$D:$D),""))</f>
        <v/>
      </c>
    </row>
    <row r="15">
      <c r="A15" s="13"/>
      <c r="B15" s="13"/>
      <c r="C15" s="13" t="str">
        <f t="array" ref="C15">IF($B15="","",IFERROR(XLOOKUP($B15,All_IDs!$B:$B,All_IDs!$C:$C),""))</f>
        <v/>
      </c>
      <c r="D15" s="13" t="str">
        <f t="array" ref="D15">IF($B15="","",IFERROR(XLOOKUP($B15,All_IDs!$B:$B,All_IDs!$A:$A),""))</f>
        <v/>
      </c>
      <c r="E15" s="13" t="str">
        <f t="array" ref="E15">IF($B15="","",IFERROR(XLOOKUP($B15,All_IDs!$B:$B,All_IDs!$D:$D),""))</f>
        <v/>
      </c>
    </row>
    <row r="16">
      <c r="A16" s="13"/>
      <c r="B16" s="13"/>
      <c r="C16" s="13" t="str">
        <f t="array" ref="C16">IF($B16="","",IFERROR(XLOOKUP($B16,All_IDs!$B:$B,All_IDs!$C:$C),""))</f>
        <v/>
      </c>
      <c r="D16" s="13" t="str">
        <f t="array" ref="D16">IF($B16="","",IFERROR(XLOOKUP($B16,All_IDs!$B:$B,All_IDs!$A:$A),""))</f>
        <v/>
      </c>
      <c r="E16" s="13" t="str">
        <f t="array" ref="E16">IF($B16="","",IFERROR(XLOOKUP($B16,All_IDs!$B:$B,All_IDs!$D:$D),""))</f>
        <v/>
      </c>
    </row>
    <row r="17">
      <c r="A17" s="13"/>
      <c r="B17" s="13"/>
      <c r="C17" s="13" t="str">
        <f t="array" ref="C17">IF($B17="","",IFERROR(XLOOKUP($B17,All_IDs!$B:$B,All_IDs!$C:$C),""))</f>
        <v/>
      </c>
      <c r="D17" s="13" t="str">
        <f t="array" ref="D17">IF($B17="","",IFERROR(XLOOKUP($B17,All_IDs!$B:$B,All_IDs!$A:$A),""))</f>
        <v/>
      </c>
      <c r="E17" s="13" t="str">
        <f t="array" ref="E17">IF($B17="","",IFERROR(XLOOKUP($B17,All_IDs!$B:$B,All_IDs!$D:$D),""))</f>
        <v/>
      </c>
    </row>
    <row r="18">
      <c r="A18" s="13"/>
      <c r="B18" s="13"/>
      <c r="C18" s="13" t="str">
        <f t="array" ref="C18">IF($B18="","",IFERROR(XLOOKUP($B18,All_IDs!$B:$B,All_IDs!$C:$C),""))</f>
        <v/>
      </c>
      <c r="D18" s="13" t="str">
        <f t="array" ref="D18">IF($B18="","",IFERROR(XLOOKUP($B18,All_IDs!$B:$B,All_IDs!$A:$A),""))</f>
        <v/>
      </c>
      <c r="E18" s="13" t="str">
        <f t="array" ref="E18">IF($B18="","",IFERROR(XLOOKUP($B18,All_IDs!$B:$B,All_IDs!$D:$D),""))</f>
        <v/>
      </c>
    </row>
    <row r="19">
      <c r="A19" s="13"/>
      <c r="B19" s="13"/>
      <c r="C19" s="13" t="str">
        <f t="array" ref="C19">IF($B19="","",IFERROR(XLOOKUP($B19,All_IDs!$B:$B,All_IDs!$C:$C),""))</f>
        <v/>
      </c>
      <c r="D19" s="13" t="str">
        <f t="array" ref="D19">IF($B19="","",IFERROR(XLOOKUP($B19,All_IDs!$B:$B,All_IDs!$A:$A),""))</f>
        <v/>
      </c>
      <c r="E19" s="13" t="str">
        <f t="array" ref="E19">IF($B19="","",IFERROR(XLOOKUP($B19,All_IDs!$B:$B,All_IDs!$D:$D),""))</f>
        <v/>
      </c>
    </row>
    <row r="20">
      <c r="A20" s="13"/>
      <c r="B20" s="13"/>
      <c r="C20" s="13" t="str">
        <f t="array" ref="C20">IF($B20="","",IFERROR(XLOOKUP($B20,All_IDs!$B:$B,All_IDs!$C:$C),""))</f>
        <v/>
      </c>
      <c r="D20" s="13" t="str">
        <f t="array" ref="D20">IF($B20="","",IFERROR(XLOOKUP($B20,All_IDs!$B:$B,All_IDs!$A:$A),""))</f>
        <v/>
      </c>
      <c r="E20" s="13" t="str">
        <f t="array" ref="E20">IF($B20="","",IFERROR(XLOOKUP($B20,All_IDs!$B:$B,All_IDs!$D:$D),""))</f>
        <v/>
      </c>
    </row>
    <row r="21">
      <c r="A21" s="13"/>
      <c r="B21" s="13"/>
      <c r="C21" s="13" t="str">
        <f t="array" ref="C21">IF($B21="","",IFERROR(XLOOKUP($B21,All_IDs!$B:$B,All_IDs!$C:$C),""))</f>
        <v/>
      </c>
      <c r="D21" s="13" t="str">
        <f t="array" ref="D21">IF($B21="","",IFERROR(XLOOKUP($B21,All_IDs!$B:$B,All_IDs!$A:$A),""))</f>
        <v/>
      </c>
      <c r="E21" s="13" t="str">
        <f t="array" ref="E21">IF($B21="","",IFERROR(XLOOKUP($B21,All_IDs!$B:$B,All_IDs!$D:$D),""))</f>
        <v/>
      </c>
    </row>
    <row r="22">
      <c r="A22" s="13"/>
      <c r="B22" s="13"/>
      <c r="C22" s="13" t="str">
        <f t="array" ref="C22">IF($B22="","",IFERROR(XLOOKUP($B22,All_IDs!$B:$B,All_IDs!$C:$C),""))</f>
        <v/>
      </c>
      <c r="D22" s="13" t="str">
        <f t="array" ref="D22">IF($B22="","",IFERROR(XLOOKUP($B22,All_IDs!$B:$B,All_IDs!$A:$A),""))</f>
        <v/>
      </c>
      <c r="E22" s="13" t="str">
        <f t="array" ref="E22">IF($B22="","",IFERROR(XLOOKUP($B22,All_IDs!$B:$B,All_IDs!$D:$D),""))</f>
        <v/>
      </c>
    </row>
    <row r="23">
      <c r="A23" s="13"/>
      <c r="B23" s="13"/>
      <c r="C23" s="13" t="str">
        <f t="array" ref="C23">IF($B23="","",IFERROR(XLOOKUP($B23,All_IDs!$B:$B,All_IDs!$C:$C),""))</f>
        <v/>
      </c>
      <c r="D23" s="13" t="str">
        <f t="array" ref="D23">IF($B23="","",IFERROR(XLOOKUP($B23,All_IDs!$B:$B,All_IDs!$A:$A),""))</f>
        <v/>
      </c>
      <c r="E23" s="13" t="str">
        <f t="array" ref="E23">IF($B23="","",IFERROR(XLOOKUP($B23,All_IDs!$B:$B,All_IDs!$D:$D),""))</f>
        <v/>
      </c>
    </row>
    <row r="24">
      <c r="A24" s="13"/>
      <c r="B24" s="13"/>
      <c r="C24" s="13" t="str">
        <f t="array" ref="C24">IF($B24="","",IFERROR(XLOOKUP($B24,All_IDs!$B:$B,All_IDs!$C:$C),""))</f>
        <v/>
      </c>
      <c r="D24" s="13" t="str">
        <f t="array" ref="D24">IF($B24="","",IFERROR(XLOOKUP($B24,All_IDs!$B:$B,All_IDs!$A:$A),""))</f>
        <v/>
      </c>
      <c r="E24" s="13" t="str">
        <f t="array" ref="E24">IF($B24="","",IFERROR(XLOOKUP($B24,All_IDs!$B:$B,All_IDs!$D:$D),""))</f>
        <v/>
      </c>
    </row>
    <row r="25">
      <c r="A25" s="13"/>
      <c r="B25" s="13"/>
      <c r="C25" s="13" t="str">
        <f t="array" ref="C25">IF($B25="","",IFERROR(XLOOKUP($B25,All_IDs!$B:$B,All_IDs!$C:$C),""))</f>
        <v/>
      </c>
      <c r="D25" s="13" t="str">
        <f t="array" ref="D25">IF($B25="","",IFERROR(XLOOKUP($B25,All_IDs!$B:$B,All_IDs!$A:$A),""))</f>
        <v/>
      </c>
      <c r="E25" s="13" t="str">
        <f t="array" ref="E25">IF($B25="","",IFERROR(XLOOKUP($B25,All_IDs!$B:$B,All_IDs!$D:$D),""))</f>
        <v/>
      </c>
    </row>
    <row r="26">
      <c r="A26" s="13"/>
      <c r="B26" s="13"/>
      <c r="C26" s="13" t="str">
        <f t="array" ref="C26">IF($B26="","",IFERROR(XLOOKUP($B26,All_IDs!$B:$B,All_IDs!$C:$C),""))</f>
        <v/>
      </c>
      <c r="D26" s="13" t="str">
        <f t="array" ref="D26">IF($B26="","",IFERROR(XLOOKUP($B26,All_IDs!$B:$B,All_IDs!$A:$A),""))</f>
        <v/>
      </c>
      <c r="E26" s="13" t="str">
        <f t="array" ref="E26">IF($B26="","",IFERROR(XLOOKUP($B26,All_IDs!$B:$B,All_IDs!$D:$D),""))</f>
        <v/>
      </c>
    </row>
    <row r="27">
      <c r="A27" s="13"/>
      <c r="B27" s="13"/>
      <c r="C27" s="13" t="str">
        <f t="array" ref="C27">IF($B27="","",IFERROR(XLOOKUP($B27,All_IDs!$B:$B,All_IDs!$C:$C),""))</f>
        <v/>
      </c>
      <c r="D27" s="13" t="str">
        <f t="array" ref="D27">IF($B27="","",IFERROR(XLOOKUP($B27,All_IDs!$B:$B,All_IDs!$A:$A),""))</f>
        <v/>
      </c>
      <c r="E27" s="13" t="str">
        <f t="array" ref="E27">IF($B27="","",IFERROR(XLOOKUP($B27,All_IDs!$B:$B,All_IDs!$D:$D),""))</f>
        <v/>
      </c>
    </row>
    <row r="28">
      <c r="A28" s="13"/>
      <c r="B28" s="13"/>
      <c r="C28" s="13" t="str">
        <f t="array" ref="C28">IF($B28="","",IFERROR(XLOOKUP($B28,All_IDs!$B:$B,All_IDs!$C:$C),""))</f>
        <v/>
      </c>
      <c r="D28" s="13" t="str">
        <f t="array" ref="D28">IF($B28="","",IFERROR(XLOOKUP($B28,All_IDs!$B:$B,All_IDs!$A:$A),""))</f>
        <v/>
      </c>
      <c r="E28" s="13" t="str">
        <f t="array" ref="E28">IF($B28="","",IFERROR(XLOOKUP($B28,All_IDs!$B:$B,All_IDs!$D:$D),""))</f>
        <v/>
      </c>
    </row>
    <row r="29">
      <c r="A29" s="13"/>
      <c r="B29" s="13"/>
      <c r="C29" s="13" t="str">
        <f t="array" ref="C29">IF($B29="","",IFERROR(XLOOKUP($B29,All_IDs!$B:$B,All_IDs!$C:$C),""))</f>
        <v/>
      </c>
      <c r="D29" s="13" t="str">
        <f t="array" ref="D29">IF($B29="","",IFERROR(XLOOKUP($B29,All_IDs!$B:$B,All_IDs!$A:$A),""))</f>
        <v/>
      </c>
      <c r="E29" s="13" t="str">
        <f t="array" ref="E29">IF($B29="","",IFERROR(XLOOKUP($B29,All_IDs!$B:$B,All_IDs!$D:$D),""))</f>
        <v/>
      </c>
    </row>
    <row r="30">
      <c r="A30" s="13"/>
      <c r="B30" s="13"/>
      <c r="C30" s="13" t="str">
        <f t="array" ref="C30">IF($B30="","",IFERROR(XLOOKUP($B30,All_IDs!$B:$B,All_IDs!$C:$C),""))</f>
        <v/>
      </c>
      <c r="D30" s="13" t="str">
        <f t="array" ref="D30">IF($B30="","",IFERROR(XLOOKUP($B30,All_IDs!$B:$B,All_IDs!$A:$A),""))</f>
        <v/>
      </c>
      <c r="E30" s="13" t="str">
        <f t="array" ref="E30">IF($B30="","",IFERROR(XLOOKUP($B30,All_IDs!$B:$B,All_IDs!$D:$D),""))</f>
        <v/>
      </c>
    </row>
    <row r="31">
      <c r="A31" s="13"/>
      <c r="B31" s="13"/>
      <c r="C31" s="13" t="str">
        <f t="array" ref="C31">IF($B31="","",IFERROR(XLOOKUP($B31,All_IDs!$B:$B,All_IDs!$C:$C),""))</f>
        <v/>
      </c>
      <c r="D31" s="13" t="str">
        <f t="array" ref="D31">IF($B31="","",IFERROR(XLOOKUP($B31,All_IDs!$B:$B,All_IDs!$A:$A),""))</f>
        <v/>
      </c>
      <c r="E31" s="13" t="str">
        <f t="array" ref="E31">IF($B31="","",IFERROR(XLOOKUP($B31,All_IDs!$B:$B,All_IDs!$D:$D),""))</f>
        <v/>
      </c>
    </row>
    <row r="32">
      <c r="A32" s="13"/>
      <c r="B32" s="13"/>
      <c r="C32" s="13" t="str">
        <f t="array" ref="C32">IF($B32="","",IFERROR(XLOOKUP($B32,All_IDs!$B:$B,All_IDs!$C:$C),""))</f>
        <v/>
      </c>
      <c r="D32" s="13" t="str">
        <f t="array" ref="D32">IF($B32="","",IFERROR(XLOOKUP($B32,All_IDs!$B:$B,All_IDs!$A:$A),""))</f>
        <v/>
      </c>
      <c r="E32" s="13" t="str">
        <f t="array" ref="E32">IF($B32="","",IFERROR(XLOOKUP($B32,All_IDs!$B:$B,All_IDs!$D:$D),""))</f>
        <v/>
      </c>
    </row>
    <row r="33">
      <c r="A33" s="13"/>
      <c r="B33" s="13"/>
      <c r="C33" s="13" t="str">
        <f t="array" ref="C33">IF($B33="","",IFERROR(XLOOKUP($B33,All_IDs!$B:$B,All_IDs!$C:$C),""))</f>
        <v/>
      </c>
      <c r="D33" s="13" t="str">
        <f t="array" ref="D33">IF($B33="","",IFERROR(XLOOKUP($B33,All_IDs!$B:$B,All_IDs!$A:$A),""))</f>
        <v/>
      </c>
      <c r="E33" s="13" t="str">
        <f t="array" ref="E33">IF($B33="","",IFERROR(XLOOKUP($B33,All_IDs!$B:$B,All_IDs!$D:$D),""))</f>
        <v/>
      </c>
    </row>
    <row r="34">
      <c r="A34" s="13"/>
      <c r="B34" s="13"/>
      <c r="C34" s="13" t="str">
        <f t="array" ref="C34">IF($B34="","",IFERROR(XLOOKUP($B34,All_IDs!$B:$B,All_IDs!$C:$C),""))</f>
        <v/>
      </c>
      <c r="D34" s="13" t="str">
        <f t="array" ref="D34">IF($B34="","",IFERROR(XLOOKUP($B34,All_IDs!$B:$B,All_IDs!$A:$A),""))</f>
        <v/>
      </c>
      <c r="E34" s="13" t="str">
        <f t="array" ref="E34">IF($B34="","",IFERROR(XLOOKUP($B34,All_IDs!$B:$B,All_IDs!$D:$D),""))</f>
        <v/>
      </c>
    </row>
    <row r="35">
      <c r="A35" s="13"/>
      <c r="B35" s="13"/>
      <c r="C35" s="13" t="str">
        <f t="array" ref="C35">IF($B35="","",IFERROR(XLOOKUP($B35,All_IDs!$B:$B,All_IDs!$C:$C),""))</f>
        <v/>
      </c>
      <c r="D35" s="13" t="str">
        <f t="array" ref="D35">IF($B35="","",IFERROR(XLOOKUP($B35,All_IDs!$B:$B,All_IDs!$A:$A),""))</f>
        <v/>
      </c>
      <c r="E35" s="13" t="str">
        <f t="array" ref="E35">IF($B35="","",IFERROR(XLOOKUP($B35,All_IDs!$B:$B,All_IDs!$D:$D),""))</f>
        <v/>
      </c>
    </row>
    <row r="36">
      <c r="A36" s="13"/>
      <c r="B36" s="13"/>
      <c r="C36" s="13" t="str">
        <f t="array" ref="C36">IF($B36="","",IFERROR(XLOOKUP($B36,All_IDs!$B:$B,All_IDs!$C:$C),""))</f>
        <v/>
      </c>
      <c r="D36" s="13" t="str">
        <f t="array" ref="D36">IF($B36="","",IFERROR(XLOOKUP($B36,All_IDs!$B:$B,All_IDs!$A:$A),""))</f>
        <v/>
      </c>
      <c r="E36" s="13" t="str">
        <f t="array" ref="E36">IF($B36="","",IFERROR(XLOOKUP($B36,All_IDs!$B:$B,All_IDs!$D:$D),""))</f>
        <v/>
      </c>
    </row>
    <row r="37">
      <c r="A37" s="13"/>
      <c r="B37" s="13"/>
      <c r="C37" s="13" t="str">
        <f t="array" ref="C37">IF($B37="","",IFERROR(XLOOKUP($B37,All_IDs!$B:$B,All_IDs!$C:$C),""))</f>
        <v/>
      </c>
      <c r="D37" s="13" t="str">
        <f t="array" ref="D37">IF($B37="","",IFERROR(XLOOKUP($B37,All_IDs!$B:$B,All_IDs!$A:$A),""))</f>
        <v/>
      </c>
      <c r="E37" s="13" t="str">
        <f t="array" ref="E37">IF($B37="","",IFERROR(XLOOKUP($B37,All_IDs!$B:$B,All_IDs!$D:$D),""))</f>
        <v/>
      </c>
    </row>
    <row r="38">
      <c r="A38" s="13"/>
      <c r="B38" s="13"/>
      <c r="C38" s="13" t="str">
        <f t="array" ref="C38">IF($B38="","",IFERROR(XLOOKUP($B38,All_IDs!$B:$B,All_IDs!$C:$C),""))</f>
        <v/>
      </c>
      <c r="D38" s="13" t="str">
        <f t="array" ref="D38">IF($B38="","",IFERROR(XLOOKUP($B38,All_IDs!$B:$B,All_IDs!$A:$A),""))</f>
        <v/>
      </c>
      <c r="E38" s="13" t="str">
        <f t="array" ref="E38">IF($B38="","",IFERROR(XLOOKUP($B38,All_IDs!$B:$B,All_IDs!$D:$D),""))</f>
        <v/>
      </c>
    </row>
    <row r="39">
      <c r="A39" s="13"/>
      <c r="B39" s="13"/>
      <c r="C39" s="13" t="str">
        <f t="array" ref="C39">IF($B39="","",IFERROR(XLOOKUP($B39,All_IDs!$B:$B,All_IDs!$C:$C),""))</f>
        <v/>
      </c>
      <c r="D39" s="13" t="str">
        <f t="array" ref="D39">IF($B39="","",IFERROR(XLOOKUP($B39,All_IDs!$B:$B,All_IDs!$A:$A),""))</f>
        <v/>
      </c>
      <c r="E39" s="13" t="str">
        <f t="array" ref="E39">IF($B39="","",IFERROR(XLOOKUP($B39,All_IDs!$B:$B,All_IDs!$D:$D),""))</f>
        <v/>
      </c>
    </row>
    <row r="40">
      <c r="A40" s="13"/>
      <c r="B40" s="13"/>
      <c r="C40" s="13" t="str">
        <f t="array" ref="C40">IF($B40="","",IFERROR(XLOOKUP($B40,All_IDs!$B:$B,All_IDs!$C:$C),""))</f>
        <v/>
      </c>
      <c r="D40" s="13" t="str">
        <f t="array" ref="D40">IF($B40="","",IFERROR(XLOOKUP($B40,All_IDs!$B:$B,All_IDs!$A:$A),""))</f>
        <v/>
      </c>
      <c r="E40" s="13" t="str">
        <f t="array" ref="E40">IF($B40="","",IFERROR(XLOOKUP($B40,All_IDs!$B:$B,All_IDs!$D:$D),""))</f>
        <v/>
      </c>
    </row>
    <row r="41">
      <c r="A41" s="13"/>
      <c r="B41" s="13"/>
      <c r="C41" s="13" t="str">
        <f t="array" ref="C41">IF($B41="","",IFERROR(XLOOKUP($B41,All_IDs!$B:$B,All_IDs!$C:$C),""))</f>
        <v/>
      </c>
      <c r="D41" s="13" t="str">
        <f t="array" ref="D41">IF($B41="","",IFERROR(XLOOKUP($B41,All_IDs!$B:$B,All_IDs!$A:$A),""))</f>
        <v/>
      </c>
      <c r="E41" s="13" t="str">
        <f t="array" ref="E41">IF($B41="","",IFERROR(XLOOKUP($B41,All_IDs!$B:$B,All_IDs!$D:$D),""))</f>
        <v/>
      </c>
    </row>
    <row r="42">
      <c r="A42" s="13"/>
      <c r="B42" s="13"/>
      <c r="C42" s="13" t="str">
        <f t="array" ref="C42">IF($B42="","",IFERROR(XLOOKUP($B42,All_IDs!$B:$B,All_IDs!$C:$C),""))</f>
        <v/>
      </c>
      <c r="D42" s="13" t="str">
        <f t="array" ref="D42">IF($B42="","",IFERROR(XLOOKUP($B42,All_IDs!$B:$B,All_IDs!$A:$A),""))</f>
        <v/>
      </c>
      <c r="E42" s="13" t="str">
        <f t="array" ref="E42">IF($B42="","",IFERROR(XLOOKUP($B42,All_IDs!$B:$B,All_IDs!$D:$D),""))</f>
        <v/>
      </c>
    </row>
    <row r="43">
      <c r="A43" s="13"/>
      <c r="B43" s="13"/>
      <c r="C43" s="13" t="str">
        <f t="array" ref="C43">IF($B43="","",IFERROR(XLOOKUP($B43,All_IDs!$B:$B,All_IDs!$C:$C),""))</f>
        <v/>
      </c>
      <c r="D43" s="13" t="str">
        <f t="array" ref="D43">IF($B43="","",IFERROR(XLOOKUP($B43,All_IDs!$B:$B,All_IDs!$A:$A),""))</f>
        <v/>
      </c>
      <c r="E43" s="13" t="str">
        <f t="array" ref="E43">IF($B43="","",IFERROR(XLOOKUP($B43,All_IDs!$B:$B,All_IDs!$D:$D),""))</f>
        <v/>
      </c>
    </row>
    <row r="44">
      <c r="A44" s="13"/>
      <c r="B44" s="13"/>
      <c r="C44" s="13" t="str">
        <f t="array" ref="C44">IF($B44="","",IFERROR(XLOOKUP($B44,All_IDs!$B:$B,All_IDs!$C:$C),""))</f>
        <v/>
      </c>
      <c r="D44" s="13" t="str">
        <f t="array" ref="D44">IF($B44="","",IFERROR(XLOOKUP($B44,All_IDs!$B:$B,All_IDs!$A:$A),""))</f>
        <v/>
      </c>
      <c r="E44" s="13" t="str">
        <f t="array" ref="E44">IF($B44="","",IFERROR(XLOOKUP($B44,All_IDs!$B:$B,All_IDs!$D:$D),""))</f>
        <v/>
      </c>
    </row>
    <row r="45">
      <c r="A45" s="13"/>
      <c r="B45" s="13"/>
      <c r="C45" s="13" t="str">
        <f t="array" ref="C45">IF($B45="","",IFERROR(XLOOKUP($B45,All_IDs!$B:$B,All_IDs!$C:$C),""))</f>
        <v/>
      </c>
      <c r="D45" s="13" t="str">
        <f t="array" ref="D45">IF($B45="","",IFERROR(XLOOKUP($B45,All_IDs!$B:$B,All_IDs!$A:$A),""))</f>
        <v/>
      </c>
      <c r="E45" s="13" t="str">
        <f t="array" ref="E45">IF($B45="","",IFERROR(XLOOKUP($B45,All_IDs!$B:$B,All_IDs!$D:$D),""))</f>
        <v/>
      </c>
    </row>
    <row r="46">
      <c r="A46" s="13"/>
      <c r="B46" s="13"/>
      <c r="C46" s="13" t="str">
        <f t="array" ref="C46">IF($B46="","",IFERROR(XLOOKUP($B46,All_IDs!$B:$B,All_IDs!$C:$C),""))</f>
        <v/>
      </c>
      <c r="D46" s="13" t="str">
        <f t="array" ref="D46">IF($B46="","",IFERROR(XLOOKUP($B46,All_IDs!$B:$B,All_IDs!$A:$A),""))</f>
        <v/>
      </c>
      <c r="E46" s="13" t="str">
        <f t="array" ref="E46">IF($B46="","",IFERROR(XLOOKUP($B46,All_IDs!$B:$B,All_IDs!$D:$D),""))</f>
        <v/>
      </c>
    </row>
    <row r="47">
      <c r="A47" s="13"/>
      <c r="B47" s="13"/>
      <c r="C47" s="13" t="str">
        <f t="array" ref="C47">IF($B47="","",IFERROR(XLOOKUP($B47,All_IDs!$B:$B,All_IDs!$C:$C),""))</f>
        <v/>
      </c>
      <c r="D47" s="13" t="str">
        <f t="array" ref="D47">IF($B47="","",IFERROR(XLOOKUP($B47,All_IDs!$B:$B,All_IDs!$A:$A),""))</f>
        <v/>
      </c>
      <c r="E47" s="13" t="str">
        <f t="array" ref="E47">IF($B47="","",IFERROR(XLOOKUP($B47,All_IDs!$B:$B,All_IDs!$D:$D),""))</f>
        <v/>
      </c>
    </row>
    <row r="48">
      <c r="A48" s="13"/>
      <c r="B48" s="13"/>
      <c r="C48" s="13" t="str">
        <f t="array" ref="C48">IF($B48="","",IFERROR(XLOOKUP($B48,All_IDs!$B:$B,All_IDs!$C:$C),""))</f>
        <v/>
      </c>
      <c r="D48" s="13" t="str">
        <f t="array" ref="D48">IF($B48="","",IFERROR(XLOOKUP($B48,All_IDs!$B:$B,All_IDs!$A:$A),""))</f>
        <v/>
      </c>
      <c r="E48" s="13" t="str">
        <f t="array" ref="E48">IF($B48="","",IFERROR(XLOOKUP($B48,All_IDs!$B:$B,All_IDs!$D:$D),""))</f>
        <v/>
      </c>
    </row>
    <row r="49">
      <c r="A49" s="13"/>
      <c r="B49" s="13"/>
      <c r="C49" s="13" t="str">
        <f t="array" ref="C49">IF($B49="","",IFERROR(XLOOKUP($B49,All_IDs!$B:$B,All_IDs!$C:$C),""))</f>
        <v/>
      </c>
      <c r="D49" s="13" t="str">
        <f t="array" ref="D49">IF($B49="","",IFERROR(XLOOKUP($B49,All_IDs!$B:$B,All_IDs!$A:$A),""))</f>
        <v/>
      </c>
      <c r="E49" s="13" t="str">
        <f t="array" ref="E49">IF($B49="","",IFERROR(XLOOKUP($B49,All_IDs!$B:$B,All_IDs!$D:$D),""))</f>
        <v/>
      </c>
    </row>
    <row r="50">
      <c r="B50" s="13"/>
      <c r="C50" s="13" t="str">
        <f t="array" ref="C50">IF($B50="","",IFERROR(XLOOKUP($B50,All_IDs!$B:$B,All_IDs!$C:$C),""))</f>
        <v/>
      </c>
      <c r="D50" s="13" t="str">
        <f t="array" ref="D50">IF($B50="","",IFERROR(XLOOKUP($B50,All_IDs!$B:$B,All_IDs!$A:$A),""))</f>
        <v/>
      </c>
      <c r="E50" s="13" t="str">
        <f t="array" ref="E50">IF($B50="","",IFERROR(XLOOKUP($B50,All_IDs!$B:$B,All_IDs!$D:$D),""))</f>
        <v/>
      </c>
    </row>
    <row r="51">
      <c r="B51" s="13"/>
      <c r="C51" s="13" t="str">
        <f t="array" ref="C51">IF($B51="","",IFERROR(XLOOKUP($B51,All_IDs!$B:$B,All_IDs!$C:$C),""))</f>
        <v/>
      </c>
      <c r="D51" s="13" t="str">
        <f t="array" ref="D51">IF($B51="","",IFERROR(XLOOKUP($B51,All_IDs!$B:$B,All_IDs!$A:$A),""))</f>
        <v/>
      </c>
      <c r="E51" s="13" t="str">
        <f t="array" ref="E51">IF($B51="","",IFERROR(XLOOKUP($B51,All_IDs!$B:$B,All_IDs!$D:$D),""))</f>
        <v/>
      </c>
    </row>
    <row r="52">
      <c r="B52" s="13"/>
      <c r="C52" s="13" t="str">
        <f t="array" ref="C52">IF($B52="","",IFERROR(XLOOKUP($B52,All_IDs!$B:$B,All_IDs!$C:$C),""))</f>
        <v/>
      </c>
      <c r="D52" s="13" t="str">
        <f t="array" ref="D52">IF($B52="","",IFERROR(XLOOKUP($B52,All_IDs!$B:$B,All_IDs!$A:$A),""))</f>
        <v/>
      </c>
      <c r="E52" s="13" t="str">
        <f t="array" ref="E52">IF($B52="","",IFERROR(XLOOKUP($B52,All_IDs!$B:$B,All_IDs!$D:$D),""))</f>
        <v/>
      </c>
    </row>
    <row r="53">
      <c r="B53" s="13"/>
      <c r="C53" s="13" t="str">
        <f t="array" ref="C53">IF($B53="","",IFERROR(XLOOKUP($B53,All_IDs!$B:$B,All_IDs!$C:$C),""))</f>
        <v/>
      </c>
      <c r="D53" s="13" t="str">
        <f t="array" ref="D53">IF($B53="","",IFERROR(XLOOKUP($B53,All_IDs!$B:$B,All_IDs!$A:$A),""))</f>
        <v/>
      </c>
      <c r="E53" s="13" t="str">
        <f t="array" ref="E53">IF($B53="","",IFERROR(XLOOKUP($B53,All_IDs!$B:$B,All_IDs!$D:$D),""))</f>
        <v/>
      </c>
    </row>
    <row r="54">
      <c r="B54" s="13"/>
      <c r="C54" s="13" t="str">
        <f t="array" ref="C54">IF($B54="","",IFERROR(XLOOKUP($B54,All_IDs!$B:$B,All_IDs!$C:$C),""))</f>
        <v/>
      </c>
      <c r="D54" s="13" t="str">
        <f t="array" ref="D54">IF($B54="","",IFERROR(XLOOKUP($B54,All_IDs!$B:$B,All_IDs!$A:$A),""))</f>
        <v/>
      </c>
      <c r="E54" s="13" t="str">
        <f t="array" ref="E54">IF($B54="","",IFERROR(XLOOKUP($B54,All_IDs!$B:$B,All_IDs!$D:$D),""))</f>
        <v/>
      </c>
    </row>
    <row r="55">
      <c r="B55" s="13"/>
      <c r="C55" s="13" t="str">
        <f t="array" ref="C55">IF($B55="","",IFERROR(XLOOKUP($B55,All_IDs!$B:$B,All_IDs!$C:$C),""))</f>
        <v/>
      </c>
      <c r="D55" s="13" t="str">
        <f t="array" ref="D55">IF($B55="","",IFERROR(XLOOKUP($B55,All_IDs!$B:$B,All_IDs!$A:$A),""))</f>
        <v/>
      </c>
      <c r="E55" s="13" t="str">
        <f t="array" ref="E55">IF($B55="","",IFERROR(XLOOKUP($B55,All_IDs!$B:$B,All_IDs!$D:$D),""))</f>
        <v/>
      </c>
    </row>
    <row r="56">
      <c r="B56" s="13"/>
      <c r="C56" s="13" t="str">
        <f t="array" ref="C56">IF($B56="","",IFERROR(XLOOKUP($B56,All_IDs!$B:$B,All_IDs!$C:$C),""))</f>
        <v/>
      </c>
      <c r="D56" s="13" t="str">
        <f t="array" ref="D56">IF($B56="","",IFERROR(XLOOKUP($B56,All_IDs!$B:$B,All_IDs!$A:$A),""))</f>
        <v/>
      </c>
      <c r="E56" s="13" t="str">
        <f t="array" ref="E56">IF($B56="","",IFERROR(XLOOKUP($B56,All_IDs!$B:$B,All_IDs!$D:$D),""))</f>
        <v/>
      </c>
    </row>
    <row r="57">
      <c r="C57" s="13" t="str">
        <f t="array" ref="C57">IF($B57="","",IFERROR(XLOOKUP($B57,All_IDs!$B:$B,All_IDs!$C:$C),""))</f>
        <v/>
      </c>
      <c r="D57" s="13" t="str">
        <f t="array" ref="D57">IF($B57="","",IFERROR(XLOOKUP($B57,All_IDs!$B:$B,All_IDs!$A:$A),""))</f>
        <v/>
      </c>
      <c r="E57" s="13" t="str">
        <f t="array" ref="E57">IF($B57="","",IFERROR(XLOOKUP($B57,All_IDs!$B:$B,All_IDs!$D:$D),""))</f>
        <v/>
      </c>
    </row>
    <row r="58">
      <c r="C58" s="13" t="str">
        <f t="array" ref="C58">IF($B58="","",IFERROR(XLOOKUP($B58,All_IDs!$B:$B,All_IDs!$C:$C),""))</f>
        <v/>
      </c>
      <c r="D58" s="13" t="str">
        <f t="array" ref="D58">IF($B58="","",IFERROR(XLOOKUP($B58,All_IDs!$B:$B,All_IDs!$A:$A),""))</f>
        <v/>
      </c>
      <c r="E58" s="13" t="str">
        <f t="array" ref="E58">IF($B58="","",IFERROR(XLOOKUP($B58,All_IDs!$B:$B,All_IDs!$D:$D),""))</f>
        <v/>
      </c>
    </row>
    <row r="59">
      <c r="C59" s="13" t="str">
        <f t="array" ref="C59">IF($B59="","",IFERROR(XLOOKUP($B59,All_IDs!$B:$B,All_IDs!$C:$C),""))</f>
        <v/>
      </c>
      <c r="D59" s="13" t="str">
        <f t="array" ref="D59">IF($B59="","",IFERROR(XLOOKUP($B59,All_IDs!$B:$B,All_IDs!$A:$A),""))</f>
        <v/>
      </c>
      <c r="E59" s="13" t="str">
        <f t="array" ref="E59">IF($B59="","",IFERROR(XLOOKUP($B59,All_IDs!$B:$B,All_IDs!$D:$D),""))</f>
        <v/>
      </c>
    </row>
  </sheetData>
  <dataValidations>
    <dataValidation type="list" allowBlank="1" showErrorMessage="1" sqref="A2:A49">
      <formula1>Vendor!$F$2:$F1000</formula1>
    </dataValidation>
    <dataValidation type="list" allowBlank="1" showErrorMessage="1" sqref="B2:B56">
      <formula1>All_IDs!$B$2:$B1000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  <col customWidth="1" min="5" max="5" width="58.0"/>
    <col customWidth="1" min="6" max="6" width="15.5"/>
    <col customWidth="1" min="11" max="11" width="15.0"/>
  </cols>
  <sheetData>
    <row r="1">
      <c r="A1" s="3" t="s">
        <v>331</v>
      </c>
      <c r="B1" s="3" t="s">
        <v>329</v>
      </c>
      <c r="C1" s="1" t="s">
        <v>330</v>
      </c>
      <c r="D1" s="1" t="s">
        <v>210</v>
      </c>
      <c r="E1" s="1" t="s">
        <v>2</v>
      </c>
      <c r="F1" s="1" t="s">
        <v>161</v>
      </c>
      <c r="G1" s="1" t="s">
        <v>338</v>
      </c>
      <c r="H1" s="1" t="s">
        <v>153</v>
      </c>
      <c r="I1" s="1" t="s">
        <v>339</v>
      </c>
      <c r="J1" s="1" t="s">
        <v>340</v>
      </c>
      <c r="K1" s="1" t="s">
        <v>341</v>
      </c>
      <c r="L1" s="1" t="s">
        <v>3</v>
      </c>
      <c r="M1" s="1" t="s">
        <v>48</v>
      </c>
      <c r="N1" s="1" t="s">
        <v>4</v>
      </c>
    </row>
    <row r="2">
      <c r="A2" s="3" t="s">
        <v>342</v>
      </c>
      <c r="B2" s="3" t="s">
        <v>343</v>
      </c>
      <c r="C2" s="1" t="s">
        <v>344</v>
      </c>
      <c r="D2" s="1" t="s">
        <v>345</v>
      </c>
      <c r="E2" s="1" t="s">
        <v>346</v>
      </c>
      <c r="F2" s="1">
        <v>99.0</v>
      </c>
      <c r="G2" s="1">
        <v>15.0</v>
      </c>
      <c r="H2" s="1" t="s">
        <v>347</v>
      </c>
      <c r="L2" s="1" t="s">
        <v>7</v>
      </c>
      <c r="M2" s="1" t="s">
        <v>348</v>
      </c>
      <c r="N2" s="2">
        <v>46209.0</v>
      </c>
    </row>
    <row r="3">
      <c r="A3" s="3" t="s">
        <v>349</v>
      </c>
      <c r="B3" s="3" t="s">
        <v>350</v>
      </c>
      <c r="C3" s="1" t="s">
        <v>351</v>
      </c>
      <c r="D3" s="1" t="s">
        <v>345</v>
      </c>
      <c r="E3" s="1" t="s">
        <v>352</v>
      </c>
      <c r="F3" s="1">
        <v>99.0</v>
      </c>
      <c r="G3" s="1">
        <v>30.0</v>
      </c>
      <c r="H3" s="1" t="s">
        <v>347</v>
      </c>
      <c r="L3" s="1" t="s">
        <v>7</v>
      </c>
      <c r="M3" s="1" t="s">
        <v>353</v>
      </c>
      <c r="N3" s="2">
        <v>46209.0</v>
      </c>
    </row>
    <row r="4">
      <c r="A4" s="3" t="s">
        <v>354</v>
      </c>
      <c r="B4" s="3" t="s">
        <v>355</v>
      </c>
      <c r="C4" s="1" t="s">
        <v>356</v>
      </c>
      <c r="D4" s="1" t="s">
        <v>345</v>
      </c>
      <c r="E4" s="1" t="s">
        <v>357</v>
      </c>
      <c r="F4" s="1">
        <v>99.0</v>
      </c>
      <c r="G4" s="1">
        <v>35.0</v>
      </c>
      <c r="H4" s="1" t="s">
        <v>347</v>
      </c>
      <c r="L4" s="1" t="s">
        <v>7</v>
      </c>
      <c r="M4" s="1" t="s">
        <v>353</v>
      </c>
      <c r="N4" s="2">
        <v>46209.0</v>
      </c>
    </row>
    <row r="5">
      <c r="A5" s="3" t="s">
        <v>358</v>
      </c>
      <c r="B5" s="3" t="s">
        <v>359</v>
      </c>
      <c r="C5" s="1" t="s">
        <v>360</v>
      </c>
      <c r="D5" s="1" t="s">
        <v>345</v>
      </c>
      <c r="E5" s="1" t="s">
        <v>361</v>
      </c>
      <c r="F5" s="1">
        <v>99.0</v>
      </c>
      <c r="G5" s="1">
        <v>40.0</v>
      </c>
      <c r="H5" s="1" t="s">
        <v>347</v>
      </c>
      <c r="L5" s="1" t="s">
        <v>7</v>
      </c>
      <c r="M5" s="1" t="s">
        <v>362</v>
      </c>
      <c r="N5" s="2">
        <v>46209.0</v>
      </c>
    </row>
    <row r="6">
      <c r="A6" s="3" t="s">
        <v>363</v>
      </c>
      <c r="B6" s="3" t="s">
        <v>364</v>
      </c>
      <c r="C6" s="1" t="s">
        <v>365</v>
      </c>
      <c r="D6" s="1" t="s">
        <v>345</v>
      </c>
      <c r="E6" s="1" t="s">
        <v>366</v>
      </c>
      <c r="F6" s="1">
        <v>99.0</v>
      </c>
      <c r="G6" s="1">
        <v>10.0</v>
      </c>
      <c r="H6" s="1" t="s">
        <v>347</v>
      </c>
      <c r="L6" s="1" t="s">
        <v>7</v>
      </c>
      <c r="M6" s="1" t="s">
        <v>367</v>
      </c>
      <c r="N6" s="2">
        <v>46209.0</v>
      </c>
    </row>
    <row r="7">
      <c r="A7" s="3" t="s">
        <v>368</v>
      </c>
      <c r="B7" s="3" t="s">
        <v>369</v>
      </c>
      <c r="C7" s="1" t="s">
        <v>370</v>
      </c>
      <c r="D7" s="1" t="s">
        <v>371</v>
      </c>
      <c r="E7" s="1" t="s">
        <v>372</v>
      </c>
      <c r="F7" s="1">
        <v>5.0</v>
      </c>
      <c r="G7" s="1">
        <v>120.0</v>
      </c>
      <c r="H7" s="1" t="s">
        <v>373</v>
      </c>
      <c r="I7" s="1" t="s">
        <v>374</v>
      </c>
      <c r="J7" s="1">
        <v>8.0</v>
      </c>
      <c r="K7" s="1">
        <v>2.0</v>
      </c>
      <c r="L7" s="1" t="s">
        <v>7</v>
      </c>
      <c r="M7" s="1" t="s">
        <v>375</v>
      </c>
      <c r="N7" s="2">
        <v>46209.0</v>
      </c>
    </row>
    <row r="8">
      <c r="A8" s="3" t="s">
        <v>376</v>
      </c>
      <c r="B8" s="3" t="s">
        <v>377</v>
      </c>
      <c r="C8" s="1" t="s">
        <v>378</v>
      </c>
      <c r="D8" s="1" t="s">
        <v>371</v>
      </c>
      <c r="E8" s="1" t="s">
        <v>379</v>
      </c>
      <c r="F8" s="1">
        <v>10.0</v>
      </c>
      <c r="G8" s="1">
        <v>90.0</v>
      </c>
      <c r="H8" s="1" t="s">
        <v>380</v>
      </c>
      <c r="J8" s="1">
        <v>30.0</v>
      </c>
      <c r="L8" s="1" t="s">
        <v>7</v>
      </c>
      <c r="M8" s="1" t="s">
        <v>381</v>
      </c>
      <c r="N8" s="2">
        <v>46209.0</v>
      </c>
    </row>
    <row r="9">
      <c r="A9" s="3" t="s">
        <v>382</v>
      </c>
      <c r="B9" s="3" t="s">
        <v>383</v>
      </c>
      <c r="C9" s="1" t="s">
        <v>384</v>
      </c>
      <c r="D9" s="1" t="s">
        <v>371</v>
      </c>
      <c r="E9" s="1" t="s">
        <v>385</v>
      </c>
      <c r="F9" s="1">
        <v>5.0</v>
      </c>
      <c r="G9" s="1">
        <v>180.0</v>
      </c>
      <c r="H9" s="1" t="s">
        <v>380</v>
      </c>
      <c r="J9" s="1">
        <v>25.0</v>
      </c>
      <c r="L9" s="1" t="s">
        <v>7</v>
      </c>
      <c r="M9" s="1" t="s">
        <v>381</v>
      </c>
      <c r="N9" s="2">
        <v>46209.0</v>
      </c>
    </row>
    <row r="10">
      <c r="A10" s="3" t="s">
        <v>386</v>
      </c>
      <c r="B10" s="3" t="s">
        <v>387</v>
      </c>
      <c r="C10" s="1" t="s">
        <v>388</v>
      </c>
      <c r="D10" s="1" t="s">
        <v>371</v>
      </c>
      <c r="E10" s="1" t="s">
        <v>389</v>
      </c>
      <c r="F10" s="1">
        <v>10.0</v>
      </c>
      <c r="G10" s="1">
        <v>50.0</v>
      </c>
      <c r="H10" s="1" t="s">
        <v>380</v>
      </c>
      <c r="J10" s="1">
        <v>15.0</v>
      </c>
      <c r="L10" s="1" t="s">
        <v>7</v>
      </c>
      <c r="M10" s="1" t="s">
        <v>390</v>
      </c>
      <c r="N10" s="2">
        <v>46209.0</v>
      </c>
    </row>
    <row r="11">
      <c r="A11" s="3" t="s">
        <v>391</v>
      </c>
      <c r="B11" s="3" t="s">
        <v>392</v>
      </c>
      <c r="C11" s="1" t="s">
        <v>393</v>
      </c>
      <c r="D11" s="1" t="s">
        <v>371</v>
      </c>
      <c r="E11" s="1" t="s">
        <v>394</v>
      </c>
      <c r="F11" s="1">
        <v>10.0</v>
      </c>
      <c r="G11" s="1">
        <v>140.0</v>
      </c>
      <c r="H11" s="1" t="s">
        <v>380</v>
      </c>
      <c r="J11" s="1">
        <v>45.0</v>
      </c>
      <c r="L11" s="1" t="s">
        <v>7</v>
      </c>
      <c r="M11" s="1" t="s">
        <v>395</v>
      </c>
      <c r="N11" s="2">
        <v>46209.0</v>
      </c>
    </row>
    <row r="12">
      <c r="A12" s="3" t="s">
        <v>396</v>
      </c>
      <c r="B12" s="3" t="s">
        <v>335</v>
      </c>
      <c r="C12" s="1" t="s">
        <v>397</v>
      </c>
      <c r="D12" s="1" t="s">
        <v>398</v>
      </c>
      <c r="E12" s="1" t="s">
        <v>399</v>
      </c>
      <c r="F12" s="1">
        <v>5.0</v>
      </c>
      <c r="G12" s="1">
        <v>45.0</v>
      </c>
      <c r="H12" s="1" t="s">
        <v>400</v>
      </c>
      <c r="J12" s="1">
        <v>25.0</v>
      </c>
      <c r="L12" s="1" t="s">
        <v>7</v>
      </c>
      <c r="M12" s="1" t="s">
        <v>401</v>
      </c>
      <c r="N12" s="2">
        <v>46209.0</v>
      </c>
    </row>
    <row r="13">
      <c r="A13" s="3" t="s">
        <v>402</v>
      </c>
      <c r="B13" s="3" t="s">
        <v>336</v>
      </c>
      <c r="C13" s="1" t="s">
        <v>403</v>
      </c>
      <c r="D13" s="1" t="s">
        <v>398</v>
      </c>
      <c r="E13" s="1" t="s">
        <v>404</v>
      </c>
      <c r="F13" s="1">
        <v>5.0</v>
      </c>
      <c r="G13" s="1">
        <v>80.0</v>
      </c>
      <c r="H13" s="1" t="s">
        <v>400</v>
      </c>
      <c r="J13" s="1">
        <v>40.0</v>
      </c>
      <c r="L13" s="1" t="s">
        <v>7</v>
      </c>
      <c r="M13" s="1" t="s">
        <v>405</v>
      </c>
      <c r="N13" s="2">
        <v>46209.0</v>
      </c>
    </row>
    <row r="14">
      <c r="A14" s="3" t="s">
        <v>406</v>
      </c>
      <c r="B14" s="3" t="s">
        <v>337</v>
      </c>
      <c r="C14" s="1" t="s">
        <v>407</v>
      </c>
      <c r="D14" s="1" t="s">
        <v>398</v>
      </c>
      <c r="E14" s="1" t="s">
        <v>408</v>
      </c>
      <c r="F14" s="1">
        <v>5.0</v>
      </c>
      <c r="G14" s="1">
        <v>280.0</v>
      </c>
      <c r="H14" s="1" t="s">
        <v>400</v>
      </c>
      <c r="J14" s="1">
        <v>65.0</v>
      </c>
      <c r="L14" s="1" t="s">
        <v>7</v>
      </c>
      <c r="M14" s="1" t="s">
        <v>409</v>
      </c>
      <c r="N14" s="2">
        <v>46209.0</v>
      </c>
    </row>
    <row r="15">
      <c r="A15" s="3" t="s">
        <v>410</v>
      </c>
      <c r="B15" s="3" t="s">
        <v>411</v>
      </c>
      <c r="C15" s="1" t="s">
        <v>412</v>
      </c>
      <c r="D15" s="1" t="s">
        <v>398</v>
      </c>
      <c r="E15" s="1" t="s">
        <v>413</v>
      </c>
      <c r="F15" s="1">
        <v>5.0</v>
      </c>
      <c r="G15" s="1">
        <v>35.0</v>
      </c>
      <c r="H15" s="1" t="s">
        <v>400</v>
      </c>
      <c r="J15" s="1">
        <v>18.0</v>
      </c>
      <c r="L15" s="1" t="s">
        <v>7</v>
      </c>
      <c r="M15" s="1" t="s">
        <v>401</v>
      </c>
      <c r="N15" s="2">
        <v>46209.0</v>
      </c>
    </row>
    <row r="16">
      <c r="A16" s="3" t="s">
        <v>414</v>
      </c>
      <c r="B16" s="3" t="s">
        <v>415</v>
      </c>
      <c r="C16" s="1" t="s">
        <v>416</v>
      </c>
      <c r="D16" s="1" t="s">
        <v>398</v>
      </c>
      <c r="E16" s="1" t="s">
        <v>417</v>
      </c>
      <c r="F16" s="1">
        <v>5.0</v>
      </c>
      <c r="G16" s="1">
        <v>110.0</v>
      </c>
      <c r="H16" s="1" t="s">
        <v>400</v>
      </c>
      <c r="J16" s="1">
        <v>50.0</v>
      </c>
      <c r="L16" s="1" t="s">
        <v>7</v>
      </c>
      <c r="M16" s="1" t="s">
        <v>418</v>
      </c>
      <c r="N16" s="2">
        <v>46209.0</v>
      </c>
    </row>
    <row r="17">
      <c r="A17" s="3" t="s">
        <v>419</v>
      </c>
      <c r="B17" s="3" t="s">
        <v>420</v>
      </c>
      <c r="C17" s="1" t="s">
        <v>421</v>
      </c>
      <c r="D17" s="1" t="s">
        <v>422</v>
      </c>
      <c r="E17" s="1" t="s">
        <v>423</v>
      </c>
      <c r="F17" s="1">
        <v>1.0</v>
      </c>
      <c r="G17" s="1">
        <v>0.0</v>
      </c>
      <c r="H17" s="1" t="s">
        <v>347</v>
      </c>
      <c r="L17" s="1" t="s">
        <v>7</v>
      </c>
      <c r="M17" s="1" t="s">
        <v>424</v>
      </c>
      <c r="N17" s="2">
        <v>46209.0</v>
      </c>
    </row>
    <row r="18">
      <c r="A18" s="3" t="s">
        <v>425</v>
      </c>
      <c r="B18" s="3" t="s">
        <v>426</v>
      </c>
      <c r="C18" s="1" t="s">
        <v>427</v>
      </c>
      <c r="D18" s="1" t="s">
        <v>422</v>
      </c>
      <c r="E18" s="1" t="s">
        <v>428</v>
      </c>
      <c r="F18" s="1">
        <v>1.0</v>
      </c>
      <c r="G18" s="1">
        <v>0.0</v>
      </c>
      <c r="H18" s="1" t="s">
        <v>347</v>
      </c>
      <c r="L18" s="1" t="s">
        <v>7</v>
      </c>
      <c r="M18" s="1" t="s">
        <v>424</v>
      </c>
      <c r="N18" s="2">
        <v>46209.0</v>
      </c>
    </row>
    <row r="19">
      <c r="A19" s="3" t="s">
        <v>429</v>
      </c>
      <c r="B19" s="3" t="s">
        <v>430</v>
      </c>
      <c r="C19" s="1" t="s">
        <v>431</v>
      </c>
      <c r="D19" s="1" t="s">
        <v>422</v>
      </c>
      <c r="E19" s="1" t="s">
        <v>432</v>
      </c>
      <c r="F19" s="1">
        <v>1.0</v>
      </c>
      <c r="G19" s="1">
        <v>0.0</v>
      </c>
      <c r="H19" s="1" t="s">
        <v>347</v>
      </c>
      <c r="L19" s="1" t="s">
        <v>7</v>
      </c>
      <c r="M19" s="1" t="s">
        <v>424</v>
      </c>
      <c r="N19" s="2">
        <v>46209.0</v>
      </c>
    </row>
    <row r="20">
      <c r="A20" s="3" t="s">
        <v>433</v>
      </c>
      <c r="B20" s="3" t="s">
        <v>434</v>
      </c>
      <c r="C20" s="1" t="s">
        <v>435</v>
      </c>
      <c r="D20" s="1" t="s">
        <v>422</v>
      </c>
      <c r="E20" s="1" t="s">
        <v>436</v>
      </c>
      <c r="F20" s="1">
        <v>1.0</v>
      </c>
      <c r="G20" s="1">
        <v>0.0</v>
      </c>
      <c r="H20" s="1" t="s">
        <v>347</v>
      </c>
      <c r="L20" s="1" t="s">
        <v>7</v>
      </c>
      <c r="M20" s="1" t="s">
        <v>424</v>
      </c>
      <c r="N20" s="2">
        <v>46209.0</v>
      </c>
    </row>
    <row r="21">
      <c r="A21" s="3" t="s">
        <v>437</v>
      </c>
      <c r="B21" s="3" t="s">
        <v>438</v>
      </c>
      <c r="C21" s="1" t="s">
        <v>439</v>
      </c>
      <c r="D21" s="1" t="s">
        <v>422</v>
      </c>
      <c r="E21" s="1" t="s">
        <v>440</v>
      </c>
      <c r="F21" s="1">
        <v>1.0</v>
      </c>
      <c r="G21" s="1">
        <v>0.0</v>
      </c>
      <c r="H21" s="1" t="s">
        <v>347</v>
      </c>
      <c r="L21" s="1" t="s">
        <v>7</v>
      </c>
      <c r="M21" s="1" t="s">
        <v>424</v>
      </c>
      <c r="N21" s="2">
        <v>46209.0</v>
      </c>
    </row>
    <row r="22">
      <c r="A22" s="3" t="s">
        <v>441</v>
      </c>
      <c r="B22" s="3" t="s">
        <v>442</v>
      </c>
      <c r="C22" s="1" t="s">
        <v>443</v>
      </c>
      <c r="D22" s="1" t="s">
        <v>0</v>
      </c>
      <c r="E22" s="1" t="s">
        <v>444</v>
      </c>
      <c r="F22" s="1">
        <v>1.0</v>
      </c>
      <c r="G22" s="1">
        <v>0.0</v>
      </c>
      <c r="H22" s="1" t="s">
        <v>347</v>
      </c>
      <c r="L22" s="1" t="s">
        <v>7</v>
      </c>
      <c r="M22" s="1" t="s">
        <v>445</v>
      </c>
      <c r="N22" s="2">
        <v>46209.0</v>
      </c>
    </row>
    <row r="23">
      <c r="A23" s="3" t="s">
        <v>446</v>
      </c>
      <c r="B23" s="3" t="s">
        <v>447</v>
      </c>
      <c r="C23" s="1" t="s">
        <v>448</v>
      </c>
      <c r="D23" s="1" t="s">
        <v>0</v>
      </c>
      <c r="E23" s="1" t="s">
        <v>449</v>
      </c>
      <c r="F23" s="1">
        <v>1.0</v>
      </c>
      <c r="G23" s="1">
        <v>0.0</v>
      </c>
      <c r="H23" s="1" t="s">
        <v>347</v>
      </c>
      <c r="L23" s="1" t="s">
        <v>7</v>
      </c>
      <c r="M23" s="1" t="s">
        <v>450</v>
      </c>
      <c r="N23" s="2">
        <v>46209.0</v>
      </c>
    </row>
    <row r="24">
      <c r="A24" s="3" t="s">
        <v>451</v>
      </c>
      <c r="B24" s="3" t="s">
        <v>452</v>
      </c>
      <c r="C24" s="1" t="s">
        <v>453</v>
      </c>
      <c r="D24" s="1" t="s">
        <v>345</v>
      </c>
      <c r="E24" s="1" t="s">
        <v>454</v>
      </c>
      <c r="F24" s="1">
        <v>99.0</v>
      </c>
      <c r="G24" s="1">
        <v>0.0</v>
      </c>
      <c r="H24" s="1" t="s">
        <v>347</v>
      </c>
      <c r="M24" s="1" t="s">
        <v>353</v>
      </c>
      <c r="N24" s="2">
        <v>46210.0</v>
      </c>
    </row>
    <row r="25">
      <c r="A25" s="3" t="s">
        <v>455</v>
      </c>
      <c r="B25" s="3" t="s">
        <v>456</v>
      </c>
      <c r="C25" s="1" t="s">
        <v>457</v>
      </c>
      <c r="D25" s="1" t="s">
        <v>371</v>
      </c>
      <c r="E25" s="1" t="s">
        <v>458</v>
      </c>
      <c r="F25" s="1">
        <v>99.0</v>
      </c>
      <c r="G25" s="1">
        <v>0.0</v>
      </c>
      <c r="H25" s="1" t="s">
        <v>400</v>
      </c>
      <c r="J25" s="1">
        <v>3.0</v>
      </c>
    </row>
    <row r="26">
      <c r="A26" s="11"/>
      <c r="B26" s="11"/>
    </row>
    <row r="27">
      <c r="A27" s="11"/>
      <c r="B27" s="11"/>
    </row>
    <row r="28">
      <c r="A28" s="11"/>
      <c r="B28" s="11"/>
    </row>
    <row r="29">
      <c r="A29" s="11"/>
      <c r="B29" s="11"/>
    </row>
    <row r="30">
      <c r="A30" s="11"/>
      <c r="B30" s="11"/>
    </row>
    <row r="31">
      <c r="A31" s="11"/>
      <c r="B31" s="11"/>
    </row>
    <row r="32">
      <c r="A32" s="11"/>
      <c r="B32" s="11"/>
    </row>
    <row r="33">
      <c r="A33" s="11"/>
      <c r="B33" s="11"/>
    </row>
    <row r="34">
      <c r="A34" s="11"/>
      <c r="B34" s="11"/>
    </row>
    <row r="35">
      <c r="A35" s="11"/>
      <c r="B35" s="11"/>
    </row>
    <row r="36">
      <c r="A36" s="11"/>
      <c r="B36" s="11"/>
    </row>
    <row r="37">
      <c r="A37" s="11"/>
      <c r="B37" s="11"/>
    </row>
    <row r="38">
      <c r="A38" s="11"/>
      <c r="B38" s="11"/>
    </row>
    <row r="39">
      <c r="A39" s="11"/>
      <c r="B39" s="11"/>
    </row>
    <row r="40">
      <c r="A40" s="11"/>
      <c r="B40" s="11"/>
    </row>
    <row r="41">
      <c r="A41" s="11"/>
      <c r="B41" s="11"/>
    </row>
    <row r="42">
      <c r="A42" s="11"/>
      <c r="B42" s="11"/>
    </row>
    <row r="43">
      <c r="A43" s="11"/>
      <c r="B43" s="11"/>
    </row>
    <row r="44">
      <c r="A44" s="11"/>
      <c r="B44" s="11"/>
    </row>
    <row r="45">
      <c r="A45" s="11"/>
      <c r="B45" s="11"/>
    </row>
    <row r="46">
      <c r="A46" s="11"/>
      <c r="B46" s="11"/>
    </row>
    <row r="47">
      <c r="A47" s="11"/>
      <c r="B47" s="11"/>
    </row>
    <row r="48">
      <c r="A48" s="11"/>
      <c r="B48" s="11"/>
    </row>
    <row r="49">
      <c r="A49" s="11"/>
      <c r="B49" s="11"/>
    </row>
    <row r="50">
      <c r="A50" s="11"/>
      <c r="B50" s="11"/>
    </row>
    <row r="51">
      <c r="A51" s="11"/>
      <c r="B51" s="11"/>
    </row>
    <row r="52">
      <c r="A52" s="11"/>
      <c r="B52" s="11"/>
    </row>
    <row r="53">
      <c r="A53" s="11"/>
      <c r="B53" s="11"/>
    </row>
    <row r="54">
      <c r="A54" s="11"/>
      <c r="B54" s="11"/>
    </row>
    <row r="55">
      <c r="A55" s="11"/>
      <c r="B55" s="11"/>
    </row>
    <row r="56">
      <c r="A56" s="11"/>
      <c r="B56" s="11"/>
    </row>
    <row r="57">
      <c r="A57" s="11"/>
      <c r="B57" s="11"/>
    </row>
    <row r="58">
      <c r="A58" s="11"/>
      <c r="B58" s="11"/>
    </row>
    <row r="59">
      <c r="A59" s="11"/>
      <c r="B59" s="11"/>
    </row>
    <row r="60">
      <c r="A60" s="11"/>
      <c r="B60" s="11"/>
    </row>
    <row r="61">
      <c r="A61" s="11"/>
      <c r="B61" s="11"/>
    </row>
    <row r="62">
      <c r="A62" s="11"/>
      <c r="B62" s="11"/>
    </row>
    <row r="63">
      <c r="A63" s="11"/>
      <c r="B63" s="11"/>
    </row>
    <row r="64">
      <c r="A64" s="11"/>
      <c r="B64" s="11"/>
    </row>
    <row r="65">
      <c r="A65" s="11"/>
      <c r="B65" s="11"/>
    </row>
    <row r="66">
      <c r="A66" s="11"/>
      <c r="B66" s="11"/>
    </row>
    <row r="67">
      <c r="A67" s="11"/>
      <c r="B67" s="11"/>
    </row>
    <row r="68">
      <c r="A68" s="11"/>
      <c r="B68" s="11"/>
    </row>
    <row r="69">
      <c r="A69" s="11"/>
      <c r="B69" s="11"/>
    </row>
    <row r="70">
      <c r="A70" s="11"/>
      <c r="B70" s="11"/>
    </row>
    <row r="71">
      <c r="A71" s="11"/>
      <c r="B71" s="11"/>
    </row>
    <row r="72">
      <c r="A72" s="11"/>
      <c r="B72" s="11"/>
    </row>
    <row r="73">
      <c r="A73" s="11"/>
      <c r="B73" s="11"/>
    </row>
    <row r="74">
      <c r="A74" s="11"/>
      <c r="B74" s="11"/>
    </row>
    <row r="75">
      <c r="A75" s="11"/>
      <c r="B75" s="11"/>
    </row>
    <row r="76">
      <c r="A76" s="11"/>
      <c r="B76" s="11"/>
    </row>
    <row r="77">
      <c r="A77" s="11"/>
      <c r="B77" s="11"/>
    </row>
    <row r="78">
      <c r="A78" s="11"/>
      <c r="B78" s="11"/>
    </row>
    <row r="79">
      <c r="A79" s="11"/>
      <c r="B79" s="11"/>
    </row>
    <row r="80">
      <c r="A80" s="11"/>
      <c r="B80" s="11"/>
    </row>
    <row r="81">
      <c r="A81" s="11"/>
      <c r="B81" s="11"/>
    </row>
    <row r="82">
      <c r="A82" s="11"/>
      <c r="B82" s="11"/>
    </row>
    <row r="83">
      <c r="A83" s="11"/>
      <c r="B83" s="11"/>
    </row>
    <row r="84">
      <c r="A84" s="11"/>
      <c r="B84" s="11"/>
    </row>
    <row r="85">
      <c r="A85" s="11"/>
      <c r="B85" s="11"/>
    </row>
    <row r="86">
      <c r="A86" s="11"/>
      <c r="B86" s="11"/>
    </row>
    <row r="87">
      <c r="A87" s="11"/>
      <c r="B87" s="11"/>
    </row>
    <row r="88">
      <c r="A88" s="11"/>
      <c r="B88" s="11"/>
    </row>
    <row r="89">
      <c r="A89" s="11"/>
      <c r="B89" s="11"/>
    </row>
    <row r="90">
      <c r="A90" s="11"/>
      <c r="B90" s="11"/>
    </row>
    <row r="91">
      <c r="A91" s="11"/>
      <c r="B91" s="11"/>
    </row>
    <row r="92">
      <c r="A92" s="11"/>
      <c r="B92" s="11"/>
    </row>
    <row r="93">
      <c r="A93" s="11"/>
      <c r="B93" s="11"/>
    </row>
    <row r="94">
      <c r="A94" s="11"/>
      <c r="B94" s="11"/>
    </row>
    <row r="95">
      <c r="A95" s="11"/>
      <c r="B95" s="11"/>
    </row>
    <row r="96">
      <c r="A96" s="11"/>
      <c r="B96" s="11"/>
    </row>
    <row r="97">
      <c r="A97" s="11"/>
      <c r="B97" s="11"/>
    </row>
    <row r="98">
      <c r="A98" s="11"/>
      <c r="B98" s="11"/>
    </row>
    <row r="99">
      <c r="A99" s="11"/>
      <c r="B99" s="11"/>
    </row>
    <row r="100">
      <c r="A100" s="11"/>
      <c r="B100" s="11"/>
    </row>
    <row r="101">
      <c r="A101" s="11"/>
      <c r="B101" s="11"/>
    </row>
    <row r="102">
      <c r="A102" s="11"/>
      <c r="B102" s="11"/>
    </row>
    <row r="103">
      <c r="A103" s="11"/>
      <c r="B103" s="11"/>
    </row>
    <row r="104">
      <c r="A104" s="11"/>
      <c r="B104" s="11"/>
    </row>
    <row r="105">
      <c r="A105" s="11"/>
      <c r="B105" s="11"/>
    </row>
    <row r="106">
      <c r="A106" s="11"/>
      <c r="B106" s="11"/>
    </row>
    <row r="107">
      <c r="A107" s="11"/>
      <c r="B107" s="11"/>
    </row>
    <row r="108">
      <c r="A108" s="11"/>
      <c r="B108" s="11"/>
    </row>
    <row r="109">
      <c r="A109" s="11"/>
      <c r="B109" s="11"/>
    </row>
    <row r="110">
      <c r="A110" s="11"/>
      <c r="B110" s="11"/>
    </row>
    <row r="111">
      <c r="A111" s="11"/>
      <c r="B111" s="11"/>
    </row>
    <row r="112">
      <c r="A112" s="11"/>
      <c r="B112" s="11"/>
    </row>
    <row r="113">
      <c r="A113" s="11"/>
      <c r="B113" s="11"/>
    </row>
    <row r="114">
      <c r="A114" s="11"/>
      <c r="B114" s="11"/>
    </row>
    <row r="115">
      <c r="A115" s="11"/>
      <c r="B115" s="11"/>
    </row>
    <row r="116">
      <c r="A116" s="11"/>
      <c r="B116" s="11"/>
    </row>
    <row r="117">
      <c r="A117" s="11"/>
      <c r="B117" s="11"/>
    </row>
    <row r="118">
      <c r="A118" s="11"/>
      <c r="B118" s="11"/>
    </row>
    <row r="119">
      <c r="A119" s="11"/>
      <c r="B119" s="11"/>
    </row>
    <row r="120">
      <c r="A120" s="11"/>
      <c r="B120" s="11"/>
    </row>
    <row r="121">
      <c r="A121" s="11"/>
      <c r="B121" s="11"/>
    </row>
    <row r="122">
      <c r="A122" s="11"/>
      <c r="B122" s="11"/>
    </row>
    <row r="123">
      <c r="A123" s="11"/>
      <c r="B123" s="11"/>
    </row>
    <row r="124">
      <c r="A124" s="11"/>
      <c r="B124" s="11"/>
    </row>
    <row r="125">
      <c r="A125" s="11"/>
      <c r="B125" s="11"/>
    </row>
    <row r="126">
      <c r="A126" s="11"/>
      <c r="B126" s="11"/>
    </row>
    <row r="127">
      <c r="A127" s="11"/>
      <c r="B127" s="11"/>
    </row>
    <row r="128">
      <c r="A128" s="11"/>
      <c r="B128" s="11"/>
    </row>
    <row r="129">
      <c r="A129" s="11"/>
      <c r="B129" s="11"/>
    </row>
    <row r="130">
      <c r="A130" s="11"/>
      <c r="B130" s="11"/>
    </row>
    <row r="131">
      <c r="A131" s="11"/>
      <c r="B131" s="11"/>
    </row>
    <row r="132">
      <c r="A132" s="11"/>
      <c r="B132" s="11"/>
    </row>
    <row r="133">
      <c r="A133" s="11"/>
      <c r="B133" s="11"/>
    </row>
    <row r="134">
      <c r="A134" s="11"/>
      <c r="B134" s="11"/>
    </row>
    <row r="135">
      <c r="A135" s="11"/>
      <c r="B135" s="11"/>
    </row>
    <row r="136">
      <c r="A136" s="11"/>
      <c r="B136" s="11"/>
    </row>
    <row r="137">
      <c r="A137" s="11"/>
      <c r="B137" s="11"/>
    </row>
    <row r="138">
      <c r="A138" s="11"/>
      <c r="B138" s="11"/>
    </row>
    <row r="139">
      <c r="A139" s="11"/>
      <c r="B139" s="11"/>
    </row>
    <row r="140">
      <c r="A140" s="11"/>
      <c r="B140" s="11"/>
    </row>
    <row r="141">
      <c r="A141" s="11"/>
      <c r="B141" s="11"/>
    </row>
    <row r="142">
      <c r="A142" s="11"/>
      <c r="B142" s="11"/>
    </row>
    <row r="143">
      <c r="A143" s="11"/>
      <c r="B143" s="11"/>
    </row>
    <row r="144">
      <c r="A144" s="11"/>
      <c r="B144" s="11"/>
    </row>
    <row r="145">
      <c r="A145" s="11"/>
      <c r="B145" s="11"/>
    </row>
    <row r="146">
      <c r="A146" s="11"/>
      <c r="B146" s="11"/>
    </row>
    <row r="147">
      <c r="A147" s="11"/>
      <c r="B147" s="11"/>
    </row>
    <row r="148">
      <c r="A148" s="11"/>
      <c r="B148" s="11"/>
    </row>
    <row r="149">
      <c r="A149" s="11"/>
      <c r="B149" s="11"/>
    </row>
    <row r="150">
      <c r="A150" s="11"/>
      <c r="B150" s="11"/>
    </row>
    <row r="151">
      <c r="A151" s="11"/>
      <c r="B151" s="11"/>
    </row>
    <row r="152">
      <c r="A152" s="11"/>
      <c r="B152" s="11"/>
    </row>
    <row r="153">
      <c r="A153" s="11"/>
      <c r="B153" s="11"/>
    </row>
    <row r="154">
      <c r="A154" s="11"/>
      <c r="B154" s="11"/>
    </row>
    <row r="155">
      <c r="A155" s="11"/>
      <c r="B155" s="11"/>
    </row>
    <row r="156">
      <c r="A156" s="11"/>
      <c r="B156" s="11"/>
    </row>
    <row r="157">
      <c r="A157" s="11"/>
      <c r="B157" s="11"/>
    </row>
    <row r="158">
      <c r="A158" s="11"/>
      <c r="B158" s="11"/>
    </row>
    <row r="159">
      <c r="A159" s="11"/>
      <c r="B159" s="11"/>
    </row>
    <row r="160">
      <c r="A160" s="11"/>
      <c r="B160" s="11"/>
    </row>
    <row r="161">
      <c r="A161" s="11"/>
      <c r="B161" s="11"/>
    </row>
    <row r="162">
      <c r="A162" s="11"/>
      <c r="B162" s="11"/>
    </row>
    <row r="163">
      <c r="A163" s="11"/>
      <c r="B163" s="11"/>
    </row>
    <row r="164">
      <c r="A164" s="11"/>
      <c r="B164" s="11"/>
    </row>
    <row r="165">
      <c r="A165" s="11"/>
      <c r="B165" s="11"/>
    </row>
    <row r="166">
      <c r="A166" s="11"/>
      <c r="B166" s="11"/>
    </row>
    <row r="167">
      <c r="A167" s="11"/>
      <c r="B167" s="11"/>
    </row>
    <row r="168">
      <c r="A168" s="11"/>
      <c r="B168" s="11"/>
    </row>
    <row r="169">
      <c r="A169" s="11"/>
      <c r="B169" s="11"/>
    </row>
    <row r="170">
      <c r="A170" s="11"/>
      <c r="B170" s="11"/>
    </row>
    <row r="171">
      <c r="A171" s="11"/>
      <c r="B171" s="11"/>
    </row>
    <row r="172">
      <c r="A172" s="11"/>
      <c r="B172" s="11"/>
    </row>
    <row r="173">
      <c r="A173" s="11"/>
      <c r="B173" s="11"/>
    </row>
    <row r="174">
      <c r="A174" s="11"/>
      <c r="B174" s="11"/>
    </row>
    <row r="175">
      <c r="A175" s="11"/>
      <c r="B175" s="11"/>
    </row>
    <row r="176">
      <c r="A176" s="11"/>
      <c r="B176" s="11"/>
    </row>
    <row r="177">
      <c r="A177" s="11"/>
      <c r="B177" s="11"/>
    </row>
    <row r="178">
      <c r="A178" s="11"/>
      <c r="B178" s="11"/>
    </row>
    <row r="179">
      <c r="A179" s="11"/>
      <c r="B179" s="11"/>
    </row>
    <row r="180">
      <c r="A180" s="11"/>
      <c r="B180" s="11"/>
    </row>
    <row r="181">
      <c r="A181" s="11"/>
      <c r="B181" s="11"/>
    </row>
    <row r="182">
      <c r="A182" s="11"/>
      <c r="B182" s="11"/>
    </row>
    <row r="183">
      <c r="A183" s="11"/>
      <c r="B183" s="11"/>
    </row>
    <row r="184">
      <c r="A184" s="11"/>
      <c r="B184" s="11"/>
    </row>
    <row r="185">
      <c r="A185" s="11"/>
      <c r="B185" s="11"/>
    </row>
    <row r="186">
      <c r="A186" s="11"/>
      <c r="B186" s="11"/>
    </row>
    <row r="187">
      <c r="A187" s="11"/>
      <c r="B187" s="11"/>
    </row>
    <row r="188">
      <c r="A188" s="11"/>
      <c r="B188" s="11"/>
    </row>
    <row r="189">
      <c r="A189" s="11"/>
      <c r="B189" s="11"/>
    </row>
    <row r="190">
      <c r="A190" s="11"/>
      <c r="B190" s="11"/>
    </row>
    <row r="191">
      <c r="A191" s="11"/>
      <c r="B191" s="11"/>
    </row>
    <row r="192">
      <c r="A192" s="11"/>
      <c r="B192" s="11"/>
    </row>
    <row r="193">
      <c r="A193" s="11"/>
      <c r="B193" s="11"/>
    </row>
    <row r="194">
      <c r="A194" s="11"/>
      <c r="B194" s="11"/>
    </row>
    <row r="195">
      <c r="A195" s="11"/>
      <c r="B195" s="11"/>
    </row>
    <row r="196">
      <c r="A196" s="11"/>
      <c r="B196" s="11"/>
    </row>
    <row r="197">
      <c r="A197" s="11"/>
      <c r="B197" s="11"/>
    </row>
    <row r="198">
      <c r="A198" s="11"/>
      <c r="B198" s="11"/>
    </row>
    <row r="199">
      <c r="A199" s="11"/>
      <c r="B199" s="11"/>
    </row>
    <row r="200">
      <c r="A200" s="11"/>
      <c r="B200" s="11"/>
    </row>
    <row r="201">
      <c r="A201" s="11"/>
      <c r="B201" s="11"/>
    </row>
    <row r="202">
      <c r="A202" s="11"/>
      <c r="B202" s="11"/>
    </row>
    <row r="203">
      <c r="A203" s="11"/>
      <c r="B203" s="11"/>
    </row>
    <row r="204">
      <c r="A204" s="11"/>
      <c r="B204" s="11"/>
    </row>
    <row r="205">
      <c r="A205" s="11"/>
      <c r="B205" s="11"/>
    </row>
    <row r="206">
      <c r="A206" s="11"/>
      <c r="B206" s="11"/>
    </row>
    <row r="207">
      <c r="A207" s="11"/>
      <c r="B207" s="11"/>
    </row>
    <row r="208">
      <c r="A208" s="11"/>
      <c r="B208" s="11"/>
    </row>
    <row r="209">
      <c r="A209" s="11"/>
      <c r="B209" s="11"/>
    </row>
    <row r="210">
      <c r="A210" s="11"/>
      <c r="B210" s="11"/>
    </row>
    <row r="211">
      <c r="A211" s="11"/>
      <c r="B211" s="11"/>
    </row>
    <row r="212">
      <c r="A212" s="11"/>
      <c r="B212" s="11"/>
    </row>
    <row r="213">
      <c r="A213" s="11"/>
      <c r="B213" s="11"/>
    </row>
    <row r="214">
      <c r="A214" s="11"/>
      <c r="B214" s="11"/>
    </row>
    <row r="215">
      <c r="A215" s="11"/>
      <c r="B215" s="11"/>
    </row>
    <row r="216">
      <c r="A216" s="11"/>
      <c r="B216" s="11"/>
    </row>
    <row r="217">
      <c r="A217" s="11"/>
      <c r="B217" s="11"/>
    </row>
    <row r="218">
      <c r="A218" s="11"/>
      <c r="B218" s="11"/>
    </row>
    <row r="219">
      <c r="A219" s="11"/>
      <c r="B219" s="11"/>
    </row>
    <row r="220">
      <c r="A220" s="11"/>
      <c r="B220" s="11"/>
    </row>
    <row r="221">
      <c r="A221" s="11"/>
      <c r="B221" s="11"/>
    </row>
    <row r="222">
      <c r="A222" s="11"/>
      <c r="B222" s="11"/>
    </row>
    <row r="223">
      <c r="A223" s="11"/>
      <c r="B223" s="11"/>
    </row>
    <row r="224">
      <c r="A224" s="11"/>
      <c r="B224" s="11"/>
    </row>
    <row r="225">
      <c r="A225" s="11"/>
      <c r="B225" s="11"/>
    </row>
    <row r="226">
      <c r="A226" s="11"/>
      <c r="B226" s="11"/>
    </row>
    <row r="227">
      <c r="A227" s="11"/>
      <c r="B227" s="11"/>
    </row>
    <row r="228">
      <c r="A228" s="11"/>
      <c r="B228" s="11"/>
    </row>
    <row r="229">
      <c r="A229" s="11"/>
      <c r="B229" s="11"/>
    </row>
    <row r="230">
      <c r="A230" s="11"/>
      <c r="B230" s="11"/>
    </row>
    <row r="231">
      <c r="A231" s="11"/>
      <c r="B231" s="11"/>
    </row>
    <row r="232">
      <c r="A232" s="11"/>
      <c r="B232" s="11"/>
    </row>
    <row r="233">
      <c r="A233" s="11"/>
      <c r="B233" s="11"/>
    </row>
    <row r="234">
      <c r="A234" s="11"/>
      <c r="B234" s="11"/>
    </row>
    <row r="235">
      <c r="A235" s="11"/>
      <c r="B235" s="11"/>
    </row>
    <row r="236">
      <c r="A236" s="11"/>
      <c r="B236" s="11"/>
    </row>
    <row r="237">
      <c r="A237" s="11"/>
      <c r="B237" s="11"/>
    </row>
    <row r="238">
      <c r="A238" s="11"/>
      <c r="B238" s="11"/>
    </row>
    <row r="239">
      <c r="A239" s="11"/>
      <c r="B239" s="11"/>
    </row>
    <row r="240">
      <c r="A240" s="11"/>
      <c r="B240" s="11"/>
    </row>
    <row r="241">
      <c r="A241" s="11"/>
      <c r="B241" s="11"/>
    </row>
    <row r="242">
      <c r="A242" s="11"/>
      <c r="B242" s="11"/>
    </row>
    <row r="243">
      <c r="A243" s="11"/>
      <c r="B243" s="11"/>
    </row>
    <row r="244">
      <c r="A244" s="11"/>
      <c r="B244" s="11"/>
    </row>
    <row r="245">
      <c r="A245" s="11"/>
      <c r="B245" s="11"/>
    </row>
    <row r="246">
      <c r="A246" s="11"/>
      <c r="B246" s="11"/>
    </row>
    <row r="247">
      <c r="A247" s="11"/>
      <c r="B247" s="11"/>
    </row>
    <row r="248">
      <c r="A248" s="11"/>
      <c r="B248" s="11"/>
    </row>
    <row r="249">
      <c r="A249" s="11"/>
      <c r="B249" s="11"/>
    </row>
    <row r="250">
      <c r="A250" s="11"/>
      <c r="B250" s="11"/>
    </row>
    <row r="251">
      <c r="A251" s="11"/>
      <c r="B251" s="11"/>
    </row>
    <row r="252">
      <c r="A252" s="11"/>
      <c r="B252" s="11"/>
    </row>
    <row r="253">
      <c r="A253" s="11"/>
      <c r="B253" s="11"/>
    </row>
    <row r="254">
      <c r="A254" s="11"/>
      <c r="B254" s="11"/>
    </row>
    <row r="255">
      <c r="A255" s="11"/>
      <c r="B255" s="11"/>
    </row>
    <row r="256">
      <c r="A256" s="11"/>
      <c r="B256" s="11"/>
    </row>
    <row r="257">
      <c r="A257" s="11"/>
      <c r="B257" s="11"/>
    </row>
    <row r="258">
      <c r="A258" s="11"/>
      <c r="B258" s="11"/>
    </row>
    <row r="259">
      <c r="A259" s="11"/>
      <c r="B259" s="11"/>
    </row>
    <row r="260">
      <c r="A260" s="11"/>
      <c r="B260" s="11"/>
    </row>
    <row r="261">
      <c r="A261" s="11"/>
      <c r="B261" s="11"/>
    </row>
    <row r="262">
      <c r="A262" s="11"/>
      <c r="B262" s="11"/>
    </row>
    <row r="263">
      <c r="A263" s="11"/>
      <c r="B263" s="11"/>
    </row>
    <row r="264">
      <c r="A264" s="11"/>
      <c r="B264" s="11"/>
    </row>
    <row r="265">
      <c r="A265" s="11"/>
      <c r="B265" s="11"/>
    </row>
    <row r="266">
      <c r="A266" s="11"/>
      <c r="B266" s="11"/>
    </row>
    <row r="267">
      <c r="A267" s="11"/>
      <c r="B267" s="11"/>
    </row>
    <row r="268">
      <c r="A268" s="11"/>
      <c r="B268" s="11"/>
    </row>
    <row r="269">
      <c r="A269" s="11"/>
      <c r="B269" s="11"/>
    </row>
    <row r="270">
      <c r="A270" s="11"/>
      <c r="B270" s="11"/>
    </row>
    <row r="271">
      <c r="A271" s="11"/>
      <c r="B271" s="11"/>
    </row>
    <row r="272">
      <c r="A272" s="11"/>
      <c r="B272" s="11"/>
    </row>
    <row r="273">
      <c r="A273" s="11"/>
      <c r="B273" s="11"/>
    </row>
    <row r="274">
      <c r="A274" s="11"/>
      <c r="B274" s="11"/>
    </row>
    <row r="275">
      <c r="A275" s="11"/>
      <c r="B275" s="11"/>
    </row>
    <row r="276">
      <c r="A276" s="11"/>
      <c r="B276" s="11"/>
    </row>
    <row r="277">
      <c r="A277" s="11"/>
      <c r="B277" s="11"/>
    </row>
    <row r="278">
      <c r="A278" s="11"/>
      <c r="B278" s="11"/>
    </row>
    <row r="279">
      <c r="A279" s="11"/>
      <c r="B279" s="11"/>
    </row>
    <row r="280">
      <c r="A280" s="11"/>
      <c r="B280" s="11"/>
    </row>
    <row r="281">
      <c r="A281" s="11"/>
      <c r="B281" s="11"/>
    </row>
    <row r="282">
      <c r="A282" s="11"/>
      <c r="B282" s="11"/>
    </row>
    <row r="283">
      <c r="A283" s="11"/>
      <c r="B283" s="11"/>
    </row>
    <row r="284">
      <c r="A284" s="11"/>
      <c r="B284" s="11"/>
    </row>
    <row r="285">
      <c r="A285" s="11"/>
      <c r="B285" s="11"/>
    </row>
    <row r="286">
      <c r="A286" s="11"/>
      <c r="B286" s="11"/>
    </row>
    <row r="287">
      <c r="A287" s="11"/>
      <c r="B287" s="11"/>
    </row>
    <row r="288">
      <c r="A288" s="11"/>
      <c r="B288" s="11"/>
    </row>
    <row r="289">
      <c r="A289" s="11"/>
      <c r="B289" s="11"/>
    </row>
    <row r="290">
      <c r="A290" s="11"/>
      <c r="B290" s="11"/>
    </row>
    <row r="291">
      <c r="A291" s="11"/>
      <c r="B291" s="11"/>
    </row>
    <row r="292">
      <c r="A292" s="11"/>
      <c r="B292" s="11"/>
    </row>
    <row r="293">
      <c r="A293" s="11"/>
      <c r="B293" s="11"/>
    </row>
    <row r="294">
      <c r="A294" s="11"/>
      <c r="B294" s="11"/>
    </row>
    <row r="295">
      <c r="A295" s="11"/>
      <c r="B295" s="11"/>
    </row>
    <row r="296">
      <c r="A296" s="11"/>
      <c r="B296" s="11"/>
    </row>
    <row r="297">
      <c r="A297" s="11"/>
      <c r="B297" s="11"/>
    </row>
    <row r="298">
      <c r="A298" s="11"/>
      <c r="B298" s="11"/>
    </row>
    <row r="299">
      <c r="A299" s="11"/>
      <c r="B299" s="11"/>
    </row>
    <row r="300">
      <c r="A300" s="11"/>
      <c r="B300" s="11"/>
    </row>
    <row r="301">
      <c r="A301" s="11"/>
      <c r="B301" s="11"/>
    </row>
    <row r="302">
      <c r="A302" s="11"/>
      <c r="B302" s="11"/>
    </row>
    <row r="303">
      <c r="A303" s="11"/>
      <c r="B303" s="11"/>
    </row>
    <row r="304">
      <c r="A304" s="11"/>
      <c r="B304" s="11"/>
    </row>
    <row r="305">
      <c r="A305" s="11"/>
      <c r="B305" s="11"/>
    </row>
    <row r="306">
      <c r="A306" s="11"/>
      <c r="B306" s="11"/>
    </row>
    <row r="307">
      <c r="A307" s="11"/>
      <c r="B307" s="11"/>
    </row>
    <row r="308">
      <c r="A308" s="11"/>
      <c r="B308" s="11"/>
    </row>
    <row r="309">
      <c r="A309" s="11"/>
      <c r="B309" s="11"/>
    </row>
    <row r="310">
      <c r="A310" s="11"/>
      <c r="B310" s="11"/>
    </row>
    <row r="311">
      <c r="A311" s="11"/>
      <c r="B311" s="11"/>
    </row>
    <row r="312">
      <c r="A312" s="11"/>
      <c r="B312" s="11"/>
    </row>
    <row r="313">
      <c r="A313" s="11"/>
      <c r="B313" s="11"/>
    </row>
    <row r="314">
      <c r="A314" s="11"/>
      <c r="B314" s="11"/>
    </row>
    <row r="315">
      <c r="A315" s="11"/>
      <c r="B315" s="11"/>
    </row>
    <row r="316">
      <c r="A316" s="11"/>
      <c r="B316" s="11"/>
    </row>
    <row r="317">
      <c r="A317" s="11"/>
      <c r="B317" s="11"/>
    </row>
    <row r="318">
      <c r="A318" s="11"/>
      <c r="B318" s="11"/>
    </row>
    <row r="319">
      <c r="A319" s="11"/>
      <c r="B319" s="11"/>
    </row>
    <row r="320">
      <c r="A320" s="11"/>
      <c r="B320" s="11"/>
    </row>
    <row r="321">
      <c r="A321" s="11"/>
      <c r="B321" s="11"/>
    </row>
    <row r="322">
      <c r="A322" s="11"/>
      <c r="B322" s="11"/>
    </row>
    <row r="323">
      <c r="A323" s="11"/>
      <c r="B323" s="11"/>
    </row>
    <row r="324">
      <c r="A324" s="11"/>
      <c r="B324" s="11"/>
    </row>
    <row r="325">
      <c r="A325" s="11"/>
      <c r="B325" s="11"/>
    </row>
    <row r="326">
      <c r="A326" s="11"/>
      <c r="B326" s="11"/>
    </row>
    <row r="327">
      <c r="A327" s="11"/>
      <c r="B327" s="11"/>
    </row>
    <row r="328">
      <c r="A328" s="11"/>
      <c r="B328" s="11"/>
    </row>
    <row r="329">
      <c r="A329" s="11"/>
      <c r="B329" s="11"/>
    </row>
    <row r="330">
      <c r="A330" s="11"/>
      <c r="B330" s="11"/>
    </row>
    <row r="331">
      <c r="A331" s="11"/>
      <c r="B331" s="11"/>
    </row>
    <row r="332">
      <c r="A332" s="11"/>
      <c r="B332" s="11"/>
    </row>
    <row r="333">
      <c r="A333" s="11"/>
      <c r="B333" s="11"/>
    </row>
    <row r="334">
      <c r="A334" s="11"/>
      <c r="B334" s="11"/>
    </row>
    <row r="335">
      <c r="A335" s="11"/>
      <c r="B335" s="11"/>
    </row>
    <row r="336">
      <c r="A336" s="11"/>
      <c r="B336" s="11"/>
    </row>
    <row r="337">
      <c r="A337" s="11"/>
      <c r="B337" s="11"/>
    </row>
    <row r="338">
      <c r="A338" s="11"/>
      <c r="B338" s="11"/>
    </row>
    <row r="339">
      <c r="A339" s="11"/>
      <c r="B339" s="11"/>
    </row>
    <row r="340">
      <c r="A340" s="11"/>
      <c r="B340" s="11"/>
    </row>
    <row r="341">
      <c r="A341" s="11"/>
      <c r="B341" s="11"/>
    </row>
    <row r="342">
      <c r="A342" s="11"/>
      <c r="B342" s="11"/>
    </row>
    <row r="343">
      <c r="A343" s="11"/>
      <c r="B343" s="11"/>
    </row>
    <row r="344">
      <c r="A344" s="11"/>
      <c r="B344" s="11"/>
    </row>
    <row r="345">
      <c r="A345" s="11"/>
      <c r="B345" s="11"/>
    </row>
    <row r="346">
      <c r="A346" s="11"/>
      <c r="B346" s="11"/>
    </row>
    <row r="347">
      <c r="A347" s="11"/>
      <c r="B347" s="11"/>
    </row>
    <row r="348">
      <c r="A348" s="11"/>
      <c r="B348" s="11"/>
    </row>
    <row r="349">
      <c r="A349" s="11"/>
      <c r="B349" s="11"/>
    </row>
    <row r="350">
      <c r="A350" s="11"/>
      <c r="B350" s="11"/>
    </row>
    <row r="351">
      <c r="A351" s="11"/>
      <c r="B351" s="11"/>
    </row>
    <row r="352">
      <c r="A352" s="11"/>
      <c r="B352" s="11"/>
    </row>
    <row r="353">
      <c r="A353" s="11"/>
      <c r="B353" s="11"/>
    </row>
    <row r="354">
      <c r="A354" s="11"/>
      <c r="B354" s="11"/>
    </row>
    <row r="355">
      <c r="A355" s="11"/>
      <c r="B355" s="11"/>
    </row>
    <row r="356">
      <c r="A356" s="11"/>
      <c r="B356" s="11"/>
    </row>
    <row r="357">
      <c r="A357" s="11"/>
      <c r="B357" s="11"/>
    </row>
    <row r="358">
      <c r="A358" s="11"/>
      <c r="B358" s="11"/>
    </row>
    <row r="359">
      <c r="A359" s="11"/>
      <c r="B359" s="11"/>
    </row>
    <row r="360">
      <c r="A360" s="11"/>
      <c r="B360" s="11"/>
    </row>
    <row r="361">
      <c r="A361" s="11"/>
      <c r="B361" s="11"/>
    </row>
    <row r="362">
      <c r="A362" s="11"/>
      <c r="B362" s="11"/>
    </row>
    <row r="363">
      <c r="A363" s="11"/>
      <c r="B363" s="11"/>
    </row>
    <row r="364">
      <c r="A364" s="11"/>
      <c r="B364" s="11"/>
    </row>
    <row r="365">
      <c r="A365" s="11"/>
      <c r="B365" s="11"/>
    </row>
    <row r="366">
      <c r="A366" s="11"/>
      <c r="B366" s="11"/>
    </row>
    <row r="367">
      <c r="A367" s="11"/>
      <c r="B367" s="11"/>
    </row>
    <row r="368">
      <c r="A368" s="11"/>
      <c r="B368" s="11"/>
    </row>
    <row r="369">
      <c r="A369" s="11"/>
      <c r="B369" s="11"/>
    </row>
    <row r="370">
      <c r="A370" s="11"/>
      <c r="B370" s="11"/>
    </row>
    <row r="371">
      <c r="A371" s="11"/>
      <c r="B371" s="11"/>
    </row>
    <row r="372">
      <c r="A372" s="11"/>
      <c r="B372" s="11"/>
    </row>
    <row r="373">
      <c r="A373" s="11"/>
      <c r="B373" s="11"/>
    </row>
    <row r="374">
      <c r="A374" s="11"/>
      <c r="B374" s="11"/>
    </row>
    <row r="375">
      <c r="A375" s="11"/>
      <c r="B375" s="11"/>
    </row>
    <row r="376">
      <c r="A376" s="11"/>
      <c r="B376" s="11"/>
    </row>
    <row r="377">
      <c r="A377" s="11"/>
      <c r="B377" s="11"/>
    </row>
    <row r="378">
      <c r="A378" s="11"/>
      <c r="B378" s="11"/>
    </row>
    <row r="379">
      <c r="A379" s="11"/>
      <c r="B379" s="11"/>
    </row>
    <row r="380">
      <c r="A380" s="11"/>
      <c r="B380" s="11"/>
    </row>
    <row r="381">
      <c r="A381" s="11"/>
      <c r="B381" s="11"/>
    </row>
    <row r="382">
      <c r="A382" s="11"/>
      <c r="B382" s="11"/>
    </row>
    <row r="383">
      <c r="A383" s="11"/>
      <c r="B383" s="11"/>
    </row>
    <row r="384">
      <c r="A384" s="11"/>
      <c r="B384" s="11"/>
    </row>
    <row r="385">
      <c r="A385" s="11"/>
      <c r="B385" s="11"/>
    </row>
    <row r="386">
      <c r="A386" s="11"/>
      <c r="B386" s="11"/>
    </row>
    <row r="387">
      <c r="A387" s="11"/>
      <c r="B387" s="11"/>
    </row>
    <row r="388">
      <c r="A388" s="11"/>
      <c r="B388" s="11"/>
    </row>
    <row r="389">
      <c r="A389" s="11"/>
      <c r="B389" s="11"/>
    </row>
    <row r="390">
      <c r="A390" s="11"/>
      <c r="B390" s="11"/>
    </row>
    <row r="391">
      <c r="A391" s="11"/>
      <c r="B391" s="11"/>
    </row>
    <row r="392">
      <c r="A392" s="11"/>
      <c r="B392" s="11"/>
    </row>
    <row r="393">
      <c r="A393" s="11"/>
      <c r="B393" s="11"/>
    </row>
    <row r="394">
      <c r="A394" s="11"/>
      <c r="B394" s="11"/>
    </row>
    <row r="395">
      <c r="A395" s="11"/>
      <c r="B395" s="11"/>
    </row>
    <row r="396">
      <c r="A396" s="11"/>
      <c r="B396" s="11"/>
    </row>
    <row r="397">
      <c r="A397" s="11"/>
      <c r="B397" s="11"/>
    </row>
    <row r="398">
      <c r="A398" s="11"/>
      <c r="B398" s="11"/>
    </row>
    <row r="399">
      <c r="A399" s="11"/>
      <c r="B399" s="11"/>
    </row>
    <row r="400">
      <c r="A400" s="11"/>
      <c r="B400" s="11"/>
    </row>
    <row r="401">
      <c r="A401" s="11"/>
      <c r="B401" s="11"/>
    </row>
    <row r="402">
      <c r="A402" s="11"/>
      <c r="B402" s="11"/>
    </row>
    <row r="403">
      <c r="A403" s="11"/>
      <c r="B403" s="11"/>
    </row>
    <row r="404">
      <c r="A404" s="11"/>
      <c r="B404" s="11"/>
    </row>
    <row r="405">
      <c r="A405" s="11"/>
      <c r="B405" s="11"/>
    </row>
    <row r="406">
      <c r="A406" s="11"/>
      <c r="B406" s="11"/>
    </row>
    <row r="407">
      <c r="A407" s="11"/>
      <c r="B407" s="11"/>
    </row>
    <row r="408">
      <c r="A408" s="11"/>
      <c r="B408" s="11"/>
    </row>
    <row r="409">
      <c r="A409" s="11"/>
      <c r="B409" s="11"/>
    </row>
    <row r="410">
      <c r="A410" s="11"/>
      <c r="B410" s="11"/>
    </row>
    <row r="411">
      <c r="A411" s="11"/>
      <c r="B411" s="11"/>
    </row>
    <row r="412">
      <c r="A412" s="11"/>
      <c r="B412" s="11"/>
    </row>
    <row r="413">
      <c r="A413" s="11"/>
      <c r="B413" s="11"/>
    </row>
    <row r="414">
      <c r="A414" s="11"/>
      <c r="B414" s="11"/>
    </row>
    <row r="415">
      <c r="A415" s="11"/>
      <c r="B415" s="11"/>
    </row>
    <row r="416">
      <c r="A416" s="11"/>
      <c r="B416" s="11"/>
    </row>
    <row r="417">
      <c r="A417" s="11"/>
      <c r="B417" s="11"/>
    </row>
    <row r="418">
      <c r="A418" s="11"/>
      <c r="B418" s="11"/>
    </row>
    <row r="419">
      <c r="A419" s="11"/>
      <c r="B419" s="11"/>
    </row>
    <row r="420">
      <c r="A420" s="11"/>
      <c r="B420" s="11"/>
    </row>
    <row r="421">
      <c r="A421" s="11"/>
      <c r="B421" s="11"/>
    </row>
    <row r="422">
      <c r="A422" s="11"/>
      <c r="B422" s="11"/>
    </row>
    <row r="423">
      <c r="A423" s="11"/>
      <c r="B423" s="11"/>
    </row>
    <row r="424">
      <c r="A424" s="11"/>
      <c r="B424" s="11"/>
    </row>
    <row r="425">
      <c r="A425" s="11"/>
      <c r="B425" s="11"/>
    </row>
    <row r="426">
      <c r="A426" s="11"/>
      <c r="B426" s="11"/>
    </row>
    <row r="427">
      <c r="A427" s="11"/>
      <c r="B427" s="11"/>
    </row>
    <row r="428">
      <c r="A428" s="11"/>
      <c r="B428" s="11"/>
    </row>
    <row r="429">
      <c r="A429" s="11"/>
      <c r="B429" s="11"/>
    </row>
    <row r="430">
      <c r="A430" s="11"/>
      <c r="B430" s="11"/>
    </row>
    <row r="431">
      <c r="A431" s="11"/>
      <c r="B431" s="11"/>
    </row>
    <row r="432">
      <c r="A432" s="11"/>
      <c r="B432" s="11"/>
    </row>
    <row r="433">
      <c r="A433" s="11"/>
      <c r="B433" s="11"/>
    </row>
    <row r="434">
      <c r="A434" s="11"/>
      <c r="B434" s="11"/>
    </row>
    <row r="435">
      <c r="A435" s="11"/>
      <c r="B435" s="11"/>
    </row>
    <row r="436">
      <c r="A436" s="11"/>
      <c r="B436" s="11"/>
    </row>
    <row r="437">
      <c r="A437" s="11"/>
      <c r="B437" s="11"/>
    </row>
    <row r="438">
      <c r="A438" s="11"/>
      <c r="B438" s="11"/>
    </row>
    <row r="439">
      <c r="A439" s="11"/>
      <c r="B439" s="11"/>
    </row>
    <row r="440">
      <c r="A440" s="11"/>
      <c r="B440" s="11"/>
    </row>
    <row r="441">
      <c r="A441" s="11"/>
      <c r="B441" s="11"/>
    </row>
    <row r="442">
      <c r="A442" s="11"/>
      <c r="B442" s="11"/>
    </row>
    <row r="443">
      <c r="A443" s="11"/>
      <c r="B443" s="11"/>
    </row>
    <row r="444">
      <c r="A444" s="11"/>
      <c r="B444" s="11"/>
    </row>
    <row r="445">
      <c r="A445" s="11"/>
      <c r="B445" s="11"/>
    </row>
    <row r="446">
      <c r="A446" s="11"/>
      <c r="B446" s="11"/>
    </row>
    <row r="447">
      <c r="A447" s="11"/>
      <c r="B447" s="11"/>
    </row>
    <row r="448">
      <c r="A448" s="11"/>
      <c r="B448" s="11"/>
    </row>
    <row r="449">
      <c r="A449" s="11"/>
      <c r="B449" s="11"/>
    </row>
    <row r="450">
      <c r="A450" s="11"/>
      <c r="B450" s="11"/>
    </row>
    <row r="451">
      <c r="A451" s="11"/>
      <c r="B451" s="11"/>
    </row>
    <row r="452">
      <c r="A452" s="11"/>
      <c r="B452" s="11"/>
    </row>
    <row r="453">
      <c r="A453" s="11"/>
      <c r="B453" s="11"/>
    </row>
    <row r="454">
      <c r="A454" s="11"/>
      <c r="B454" s="11"/>
    </row>
    <row r="455">
      <c r="A455" s="11"/>
      <c r="B455" s="11"/>
    </row>
    <row r="456">
      <c r="A456" s="11"/>
      <c r="B456" s="11"/>
    </row>
    <row r="457">
      <c r="A457" s="11"/>
      <c r="B457" s="11"/>
    </row>
    <row r="458">
      <c r="A458" s="11"/>
      <c r="B458" s="11"/>
    </row>
    <row r="459">
      <c r="A459" s="11"/>
      <c r="B459" s="11"/>
    </row>
    <row r="460">
      <c r="A460" s="11"/>
      <c r="B460" s="11"/>
    </row>
    <row r="461">
      <c r="A461" s="11"/>
      <c r="B461" s="11"/>
    </row>
    <row r="462">
      <c r="A462" s="11"/>
      <c r="B462" s="11"/>
    </row>
    <row r="463">
      <c r="A463" s="11"/>
      <c r="B463" s="11"/>
    </row>
    <row r="464">
      <c r="A464" s="11"/>
      <c r="B464" s="11"/>
    </row>
    <row r="465">
      <c r="A465" s="11"/>
      <c r="B465" s="11"/>
    </row>
    <row r="466">
      <c r="A466" s="11"/>
      <c r="B466" s="11"/>
    </row>
    <row r="467">
      <c r="A467" s="11"/>
      <c r="B467" s="11"/>
    </row>
    <row r="468">
      <c r="A468" s="11"/>
      <c r="B468" s="11"/>
    </row>
    <row r="469">
      <c r="A469" s="11"/>
      <c r="B469" s="11"/>
    </row>
    <row r="470">
      <c r="A470" s="11"/>
      <c r="B470" s="11"/>
    </row>
    <row r="471">
      <c r="A471" s="11"/>
      <c r="B471" s="11"/>
    </row>
    <row r="472">
      <c r="A472" s="11"/>
      <c r="B472" s="11"/>
    </row>
    <row r="473">
      <c r="A473" s="11"/>
      <c r="B473" s="11"/>
    </row>
    <row r="474">
      <c r="A474" s="11"/>
      <c r="B474" s="11"/>
    </row>
    <row r="475">
      <c r="A475" s="11"/>
      <c r="B475" s="11"/>
    </row>
    <row r="476">
      <c r="A476" s="11"/>
      <c r="B476" s="11"/>
    </row>
    <row r="477">
      <c r="A477" s="11"/>
      <c r="B477" s="11"/>
    </row>
    <row r="478">
      <c r="A478" s="11"/>
      <c r="B478" s="11"/>
    </row>
    <row r="479">
      <c r="A479" s="11"/>
      <c r="B479" s="11"/>
    </row>
    <row r="480">
      <c r="A480" s="11"/>
      <c r="B480" s="11"/>
    </row>
    <row r="481">
      <c r="A481" s="11"/>
      <c r="B481" s="11"/>
    </row>
    <row r="482">
      <c r="A482" s="11"/>
      <c r="B482" s="11"/>
    </row>
    <row r="483">
      <c r="A483" s="11"/>
      <c r="B483" s="11"/>
    </row>
    <row r="484">
      <c r="A484" s="11"/>
      <c r="B484" s="11"/>
    </row>
    <row r="485">
      <c r="A485" s="11"/>
      <c r="B485" s="11"/>
    </row>
    <row r="486">
      <c r="A486" s="11"/>
      <c r="B486" s="11"/>
    </row>
    <row r="487">
      <c r="A487" s="11"/>
      <c r="B487" s="11"/>
    </row>
    <row r="488">
      <c r="A488" s="11"/>
      <c r="B488" s="11"/>
    </row>
    <row r="489">
      <c r="A489" s="11"/>
      <c r="B489" s="11"/>
    </row>
    <row r="490">
      <c r="A490" s="11"/>
      <c r="B490" s="11"/>
    </row>
    <row r="491">
      <c r="A491" s="11"/>
      <c r="B491" s="11"/>
    </row>
    <row r="492">
      <c r="A492" s="11"/>
      <c r="B492" s="11"/>
    </row>
    <row r="493">
      <c r="A493" s="11"/>
      <c r="B493" s="11"/>
    </row>
    <row r="494">
      <c r="A494" s="11"/>
      <c r="B494" s="11"/>
    </row>
    <row r="495">
      <c r="A495" s="11"/>
      <c r="B495" s="11"/>
    </row>
    <row r="496">
      <c r="A496" s="11"/>
      <c r="B496" s="11"/>
    </row>
    <row r="497">
      <c r="A497" s="11"/>
      <c r="B497" s="11"/>
    </row>
    <row r="498">
      <c r="A498" s="11"/>
      <c r="B498" s="11"/>
    </row>
    <row r="499">
      <c r="A499" s="11"/>
      <c r="B499" s="11"/>
    </row>
    <row r="500">
      <c r="A500" s="11"/>
      <c r="B500" s="11"/>
    </row>
    <row r="501">
      <c r="A501" s="11"/>
      <c r="B501" s="11"/>
    </row>
    <row r="502">
      <c r="A502" s="11"/>
      <c r="B502" s="11"/>
    </row>
    <row r="503">
      <c r="A503" s="11"/>
      <c r="B503" s="11"/>
    </row>
    <row r="504">
      <c r="A504" s="11"/>
      <c r="B504" s="11"/>
    </row>
    <row r="505">
      <c r="A505" s="11"/>
      <c r="B505" s="11"/>
    </row>
    <row r="506">
      <c r="A506" s="11"/>
      <c r="B506" s="11"/>
    </row>
    <row r="507">
      <c r="A507" s="11"/>
      <c r="B507" s="11"/>
    </row>
    <row r="508">
      <c r="A508" s="11"/>
      <c r="B508" s="11"/>
    </row>
    <row r="509">
      <c r="A509" s="11"/>
      <c r="B509" s="11"/>
    </row>
    <row r="510">
      <c r="A510" s="11"/>
      <c r="B510" s="11"/>
    </row>
    <row r="511">
      <c r="A511" s="11"/>
      <c r="B511" s="11"/>
    </row>
    <row r="512">
      <c r="A512" s="11"/>
      <c r="B512" s="11"/>
    </row>
    <row r="513">
      <c r="A513" s="11"/>
      <c r="B513" s="11"/>
    </row>
    <row r="514">
      <c r="A514" s="11"/>
      <c r="B514" s="11"/>
    </row>
    <row r="515">
      <c r="A515" s="11"/>
      <c r="B515" s="11"/>
    </row>
    <row r="516">
      <c r="A516" s="11"/>
      <c r="B516" s="11"/>
    </row>
    <row r="517">
      <c r="A517" s="11"/>
      <c r="B517" s="11"/>
    </row>
    <row r="518">
      <c r="A518" s="11"/>
      <c r="B518" s="11"/>
    </row>
    <row r="519">
      <c r="A519" s="11"/>
      <c r="B519" s="11"/>
    </row>
    <row r="520">
      <c r="A520" s="11"/>
      <c r="B520" s="11"/>
    </row>
    <row r="521">
      <c r="A521" s="11"/>
      <c r="B521" s="11"/>
    </row>
    <row r="522">
      <c r="A522" s="11"/>
      <c r="B522" s="11"/>
    </row>
    <row r="523">
      <c r="A523" s="11"/>
      <c r="B523" s="11"/>
    </row>
    <row r="524">
      <c r="A524" s="11"/>
      <c r="B524" s="11"/>
    </row>
    <row r="525">
      <c r="A525" s="11"/>
      <c r="B525" s="11"/>
    </row>
    <row r="526">
      <c r="A526" s="11"/>
      <c r="B526" s="11"/>
    </row>
    <row r="527">
      <c r="A527" s="11"/>
      <c r="B527" s="11"/>
    </row>
    <row r="528">
      <c r="A528" s="11"/>
      <c r="B528" s="11"/>
    </row>
    <row r="529">
      <c r="A529" s="11"/>
      <c r="B529" s="11"/>
    </row>
    <row r="530">
      <c r="A530" s="11"/>
      <c r="B530" s="11"/>
    </row>
    <row r="531">
      <c r="A531" s="11"/>
      <c r="B531" s="11"/>
    </row>
    <row r="532">
      <c r="A532" s="11"/>
      <c r="B532" s="11"/>
    </row>
    <row r="533">
      <c r="A533" s="11"/>
      <c r="B533" s="11"/>
    </row>
    <row r="534">
      <c r="A534" s="11"/>
      <c r="B534" s="11"/>
    </row>
    <row r="535">
      <c r="A535" s="11"/>
      <c r="B535" s="11"/>
    </row>
    <row r="536">
      <c r="A536" s="11"/>
      <c r="B536" s="11"/>
    </row>
    <row r="537">
      <c r="A537" s="11"/>
      <c r="B537" s="11"/>
    </row>
    <row r="538">
      <c r="A538" s="11"/>
      <c r="B538" s="11"/>
    </row>
    <row r="539">
      <c r="A539" s="11"/>
      <c r="B539" s="11"/>
    </row>
    <row r="540">
      <c r="A540" s="11"/>
      <c r="B540" s="11"/>
    </row>
    <row r="541">
      <c r="A541" s="11"/>
      <c r="B541" s="11"/>
    </row>
    <row r="542">
      <c r="A542" s="11"/>
      <c r="B542" s="11"/>
    </row>
    <row r="543">
      <c r="A543" s="11"/>
      <c r="B543" s="11"/>
    </row>
    <row r="544">
      <c r="A544" s="11"/>
      <c r="B544" s="11"/>
    </row>
    <row r="545">
      <c r="A545" s="11"/>
      <c r="B545" s="11"/>
    </row>
    <row r="546">
      <c r="A546" s="11"/>
      <c r="B546" s="11"/>
    </row>
    <row r="547">
      <c r="A547" s="11"/>
      <c r="B547" s="11"/>
    </row>
    <row r="548">
      <c r="A548" s="11"/>
      <c r="B548" s="11"/>
    </row>
    <row r="549">
      <c r="A549" s="11"/>
      <c r="B549" s="11"/>
    </row>
    <row r="550">
      <c r="A550" s="11"/>
      <c r="B550" s="11"/>
    </row>
    <row r="551">
      <c r="A551" s="11"/>
      <c r="B551" s="11"/>
    </row>
    <row r="552">
      <c r="A552" s="11"/>
      <c r="B552" s="11"/>
    </row>
    <row r="553">
      <c r="A553" s="11"/>
      <c r="B553" s="11"/>
    </row>
    <row r="554">
      <c r="A554" s="11"/>
      <c r="B554" s="11"/>
    </row>
    <row r="555">
      <c r="A555" s="11"/>
      <c r="B555" s="11"/>
    </row>
    <row r="556">
      <c r="A556" s="11"/>
      <c r="B556" s="11"/>
    </row>
    <row r="557">
      <c r="A557" s="11"/>
      <c r="B557" s="11"/>
    </row>
    <row r="558">
      <c r="A558" s="11"/>
      <c r="B558" s="11"/>
    </row>
    <row r="559">
      <c r="A559" s="11"/>
      <c r="B559" s="11"/>
    </row>
    <row r="560">
      <c r="A560" s="11"/>
      <c r="B560" s="11"/>
    </row>
    <row r="561">
      <c r="A561" s="11"/>
      <c r="B561" s="11"/>
    </row>
    <row r="562">
      <c r="A562" s="11"/>
      <c r="B562" s="11"/>
    </row>
    <row r="563">
      <c r="A563" s="11"/>
      <c r="B563" s="11"/>
    </row>
    <row r="564">
      <c r="A564" s="11"/>
      <c r="B564" s="11"/>
    </row>
    <row r="565">
      <c r="A565" s="11"/>
      <c r="B565" s="11"/>
    </row>
    <row r="566">
      <c r="A566" s="11"/>
      <c r="B566" s="11"/>
    </row>
    <row r="567">
      <c r="A567" s="11"/>
      <c r="B567" s="11"/>
    </row>
    <row r="568">
      <c r="A568" s="11"/>
      <c r="B568" s="11"/>
    </row>
    <row r="569">
      <c r="A569" s="11"/>
      <c r="B569" s="11"/>
    </row>
    <row r="570">
      <c r="A570" s="11"/>
      <c r="B570" s="11"/>
    </row>
    <row r="571">
      <c r="A571" s="11"/>
      <c r="B571" s="11"/>
    </row>
    <row r="572">
      <c r="A572" s="11"/>
      <c r="B572" s="11"/>
    </row>
    <row r="573">
      <c r="A573" s="11"/>
      <c r="B573" s="11"/>
    </row>
    <row r="574">
      <c r="A574" s="11"/>
      <c r="B574" s="11"/>
    </row>
    <row r="575">
      <c r="A575" s="11"/>
      <c r="B575" s="11"/>
    </row>
    <row r="576">
      <c r="A576" s="11"/>
      <c r="B576" s="11"/>
    </row>
    <row r="577">
      <c r="A577" s="11"/>
      <c r="B577" s="11"/>
    </row>
    <row r="578">
      <c r="A578" s="11"/>
      <c r="B578" s="11"/>
    </row>
    <row r="579">
      <c r="A579" s="11"/>
      <c r="B579" s="11"/>
    </row>
    <row r="580">
      <c r="A580" s="11"/>
      <c r="B580" s="11"/>
    </row>
    <row r="581">
      <c r="A581" s="11"/>
      <c r="B581" s="11"/>
    </row>
    <row r="582">
      <c r="A582" s="11"/>
      <c r="B582" s="11"/>
    </row>
    <row r="583">
      <c r="A583" s="11"/>
      <c r="B583" s="11"/>
    </row>
    <row r="584">
      <c r="A584" s="11"/>
      <c r="B584" s="11"/>
    </row>
    <row r="585">
      <c r="A585" s="11"/>
      <c r="B585" s="11"/>
    </row>
    <row r="586">
      <c r="A586" s="11"/>
      <c r="B586" s="11"/>
    </row>
    <row r="587">
      <c r="A587" s="11"/>
      <c r="B587" s="11"/>
    </row>
    <row r="588">
      <c r="A588" s="11"/>
      <c r="B588" s="11"/>
    </row>
    <row r="589">
      <c r="A589" s="11"/>
      <c r="B589" s="11"/>
    </row>
    <row r="590">
      <c r="A590" s="11"/>
      <c r="B590" s="11"/>
    </row>
    <row r="591">
      <c r="A591" s="11"/>
      <c r="B591" s="11"/>
    </row>
    <row r="592">
      <c r="A592" s="11"/>
      <c r="B592" s="11"/>
    </row>
    <row r="593">
      <c r="A593" s="11"/>
      <c r="B593" s="11"/>
    </row>
    <row r="594">
      <c r="A594" s="11"/>
      <c r="B594" s="11"/>
    </row>
    <row r="595">
      <c r="A595" s="11"/>
      <c r="B595" s="11"/>
    </row>
    <row r="596">
      <c r="A596" s="11"/>
      <c r="B596" s="11"/>
    </row>
    <row r="597">
      <c r="A597" s="11"/>
      <c r="B597" s="11"/>
    </row>
    <row r="598">
      <c r="A598" s="11"/>
      <c r="B598" s="11"/>
    </row>
    <row r="599">
      <c r="A599" s="11"/>
      <c r="B599" s="11"/>
    </row>
    <row r="600">
      <c r="A600" s="11"/>
      <c r="B600" s="11"/>
    </row>
    <row r="601">
      <c r="A601" s="11"/>
      <c r="B601" s="11"/>
    </row>
    <row r="602">
      <c r="A602" s="11"/>
      <c r="B602" s="11"/>
    </row>
    <row r="603">
      <c r="A603" s="11"/>
      <c r="B603" s="11"/>
    </row>
    <row r="604">
      <c r="A604" s="11"/>
      <c r="B604" s="11"/>
    </row>
    <row r="605">
      <c r="A605" s="11"/>
      <c r="B605" s="11"/>
    </row>
    <row r="606">
      <c r="A606" s="11"/>
      <c r="B606" s="11"/>
    </row>
    <row r="607">
      <c r="A607" s="11"/>
      <c r="B607" s="11"/>
    </row>
    <row r="608">
      <c r="A608" s="11"/>
      <c r="B608" s="11"/>
    </row>
    <row r="609">
      <c r="A609" s="11"/>
      <c r="B609" s="11"/>
    </row>
    <row r="610">
      <c r="A610" s="11"/>
      <c r="B610" s="11"/>
    </row>
    <row r="611">
      <c r="A611" s="11"/>
      <c r="B611" s="11"/>
    </row>
    <row r="612">
      <c r="A612" s="11"/>
      <c r="B612" s="11"/>
    </row>
    <row r="613">
      <c r="A613" s="11"/>
      <c r="B613" s="11"/>
    </row>
    <row r="614">
      <c r="A614" s="11"/>
      <c r="B614" s="11"/>
    </row>
    <row r="615">
      <c r="A615" s="11"/>
      <c r="B615" s="11"/>
    </row>
    <row r="616">
      <c r="A616" s="11"/>
      <c r="B616" s="11"/>
    </row>
    <row r="617">
      <c r="A617" s="11"/>
      <c r="B617" s="11"/>
    </row>
    <row r="618">
      <c r="A618" s="11"/>
      <c r="B618" s="11"/>
    </row>
    <row r="619">
      <c r="A619" s="11"/>
      <c r="B619" s="11"/>
    </row>
    <row r="620">
      <c r="A620" s="11"/>
      <c r="B620" s="11"/>
    </row>
    <row r="621">
      <c r="A621" s="11"/>
      <c r="B621" s="11"/>
    </row>
    <row r="622">
      <c r="A622" s="11"/>
      <c r="B622" s="11"/>
    </row>
    <row r="623">
      <c r="A623" s="11"/>
      <c r="B623" s="11"/>
    </row>
    <row r="624">
      <c r="A624" s="11"/>
      <c r="B624" s="11"/>
    </row>
    <row r="625">
      <c r="A625" s="11"/>
      <c r="B625" s="11"/>
    </row>
    <row r="626">
      <c r="A626" s="11"/>
      <c r="B626" s="11"/>
    </row>
    <row r="627">
      <c r="A627" s="11"/>
      <c r="B627" s="11"/>
    </row>
    <row r="628">
      <c r="A628" s="11"/>
      <c r="B628" s="11"/>
    </row>
    <row r="629">
      <c r="A629" s="11"/>
      <c r="B629" s="11"/>
    </row>
    <row r="630">
      <c r="A630" s="11"/>
      <c r="B630" s="11"/>
    </row>
    <row r="631">
      <c r="A631" s="11"/>
      <c r="B631" s="11"/>
    </row>
    <row r="632">
      <c r="A632" s="11"/>
      <c r="B632" s="11"/>
    </row>
    <row r="633">
      <c r="A633" s="11"/>
      <c r="B633" s="11"/>
    </row>
    <row r="634">
      <c r="A634" s="11"/>
      <c r="B634" s="11"/>
    </row>
    <row r="635">
      <c r="A635" s="11"/>
      <c r="B635" s="11"/>
    </row>
    <row r="636">
      <c r="A636" s="11"/>
      <c r="B636" s="11"/>
    </row>
    <row r="637">
      <c r="A637" s="11"/>
      <c r="B637" s="11"/>
    </row>
    <row r="638">
      <c r="A638" s="11"/>
      <c r="B638" s="11"/>
    </row>
    <row r="639">
      <c r="A639" s="11"/>
      <c r="B639" s="11"/>
    </row>
    <row r="640">
      <c r="A640" s="11"/>
      <c r="B640" s="11"/>
    </row>
    <row r="641">
      <c r="A641" s="11"/>
      <c r="B641" s="11"/>
    </row>
    <row r="642">
      <c r="A642" s="11"/>
      <c r="B642" s="11"/>
    </row>
    <row r="643">
      <c r="A643" s="11"/>
      <c r="B643" s="11"/>
    </row>
    <row r="644">
      <c r="A644" s="11"/>
      <c r="B644" s="11"/>
    </row>
    <row r="645">
      <c r="A645" s="11"/>
      <c r="B645" s="11"/>
    </row>
    <row r="646">
      <c r="A646" s="11"/>
      <c r="B646" s="11"/>
    </row>
    <row r="647">
      <c r="A647" s="11"/>
      <c r="B647" s="11"/>
    </row>
    <row r="648">
      <c r="A648" s="11"/>
      <c r="B648" s="11"/>
    </row>
    <row r="649">
      <c r="A649" s="11"/>
      <c r="B649" s="11"/>
    </row>
    <row r="650">
      <c r="A650" s="11"/>
      <c r="B650" s="11"/>
    </row>
    <row r="651">
      <c r="A651" s="11"/>
      <c r="B651" s="11"/>
    </row>
    <row r="652">
      <c r="A652" s="11"/>
      <c r="B652" s="11"/>
    </row>
    <row r="653">
      <c r="A653" s="11"/>
      <c r="B653" s="11"/>
    </row>
    <row r="654">
      <c r="A654" s="11"/>
      <c r="B654" s="11"/>
    </row>
    <row r="655">
      <c r="A655" s="11"/>
      <c r="B655" s="11"/>
    </row>
    <row r="656">
      <c r="A656" s="11"/>
      <c r="B656" s="11"/>
    </row>
    <row r="657">
      <c r="A657" s="11"/>
      <c r="B657" s="11"/>
    </row>
    <row r="658">
      <c r="A658" s="11"/>
      <c r="B658" s="11"/>
    </row>
    <row r="659">
      <c r="A659" s="11"/>
      <c r="B659" s="11"/>
    </row>
    <row r="660">
      <c r="A660" s="11"/>
      <c r="B660" s="11"/>
    </row>
    <row r="661">
      <c r="A661" s="11"/>
      <c r="B661" s="11"/>
    </row>
    <row r="662">
      <c r="A662" s="11"/>
      <c r="B662" s="11"/>
    </row>
    <row r="663">
      <c r="A663" s="11"/>
      <c r="B663" s="11"/>
    </row>
    <row r="664">
      <c r="A664" s="11"/>
      <c r="B664" s="11"/>
    </row>
    <row r="665">
      <c r="A665" s="11"/>
      <c r="B665" s="11"/>
    </row>
    <row r="666">
      <c r="A666" s="11"/>
      <c r="B666" s="11"/>
    </row>
    <row r="667">
      <c r="A667" s="11"/>
      <c r="B667" s="11"/>
    </row>
    <row r="668">
      <c r="A668" s="11"/>
      <c r="B668" s="11"/>
    </row>
    <row r="669">
      <c r="A669" s="11"/>
      <c r="B669" s="11"/>
    </row>
    <row r="670">
      <c r="A670" s="11"/>
      <c r="B670" s="11"/>
    </row>
    <row r="671">
      <c r="A671" s="11"/>
      <c r="B671" s="11"/>
    </row>
    <row r="672">
      <c r="A672" s="11"/>
      <c r="B672" s="11"/>
    </row>
    <row r="673">
      <c r="A673" s="11"/>
      <c r="B673" s="11"/>
    </row>
    <row r="674">
      <c r="A674" s="11"/>
      <c r="B674" s="11"/>
    </row>
    <row r="675">
      <c r="A675" s="11"/>
      <c r="B675" s="11"/>
    </row>
    <row r="676">
      <c r="A676" s="11"/>
      <c r="B676" s="11"/>
    </row>
    <row r="677">
      <c r="A677" s="11"/>
      <c r="B677" s="11"/>
    </row>
    <row r="678">
      <c r="A678" s="11"/>
      <c r="B678" s="11"/>
    </row>
    <row r="679">
      <c r="A679" s="11"/>
      <c r="B679" s="11"/>
    </row>
    <row r="680">
      <c r="A680" s="11"/>
      <c r="B680" s="11"/>
    </row>
    <row r="681">
      <c r="A681" s="11"/>
      <c r="B681" s="11"/>
    </row>
    <row r="682">
      <c r="A682" s="11"/>
      <c r="B682" s="11"/>
    </row>
    <row r="683">
      <c r="A683" s="11"/>
      <c r="B683" s="11"/>
    </row>
    <row r="684">
      <c r="A684" s="11"/>
      <c r="B684" s="11"/>
    </row>
    <row r="685">
      <c r="A685" s="11"/>
      <c r="B685" s="11"/>
    </row>
    <row r="686">
      <c r="A686" s="11"/>
      <c r="B686" s="11"/>
    </row>
    <row r="687">
      <c r="A687" s="11"/>
      <c r="B687" s="11"/>
    </row>
    <row r="688">
      <c r="A688" s="11"/>
      <c r="B688" s="11"/>
    </row>
    <row r="689">
      <c r="A689" s="11"/>
      <c r="B689" s="11"/>
    </row>
    <row r="690">
      <c r="A690" s="11"/>
      <c r="B690" s="11"/>
    </row>
    <row r="691">
      <c r="A691" s="11"/>
      <c r="B691" s="11"/>
    </row>
    <row r="692">
      <c r="A692" s="11"/>
      <c r="B692" s="11"/>
    </row>
    <row r="693">
      <c r="A693" s="11"/>
      <c r="B693" s="11"/>
    </row>
    <row r="694">
      <c r="A694" s="11"/>
      <c r="B694" s="11"/>
    </row>
    <row r="695">
      <c r="A695" s="11"/>
      <c r="B695" s="11"/>
    </row>
    <row r="696">
      <c r="A696" s="11"/>
      <c r="B696" s="11"/>
    </row>
    <row r="697">
      <c r="A697" s="11"/>
      <c r="B697" s="11"/>
    </row>
    <row r="698">
      <c r="A698" s="11"/>
      <c r="B698" s="11"/>
    </row>
    <row r="699">
      <c r="A699" s="11"/>
      <c r="B699" s="11"/>
    </row>
    <row r="700">
      <c r="A700" s="11"/>
      <c r="B700" s="11"/>
    </row>
    <row r="701">
      <c r="A701" s="11"/>
      <c r="B701" s="11"/>
    </row>
    <row r="702">
      <c r="A702" s="11"/>
      <c r="B702" s="11"/>
    </row>
    <row r="703">
      <c r="A703" s="11"/>
      <c r="B703" s="11"/>
    </row>
    <row r="704">
      <c r="A704" s="11"/>
      <c r="B704" s="11"/>
    </row>
    <row r="705">
      <c r="A705" s="11"/>
      <c r="B705" s="11"/>
    </row>
    <row r="706">
      <c r="A706" s="11"/>
      <c r="B706" s="11"/>
    </row>
    <row r="707">
      <c r="A707" s="11"/>
      <c r="B707" s="11"/>
    </row>
    <row r="708">
      <c r="A708" s="11"/>
      <c r="B708" s="11"/>
    </row>
    <row r="709">
      <c r="A709" s="11"/>
      <c r="B709" s="11"/>
    </row>
    <row r="710">
      <c r="A710" s="11"/>
      <c r="B710" s="11"/>
    </row>
    <row r="711">
      <c r="A711" s="11"/>
      <c r="B711" s="11"/>
    </row>
    <row r="712">
      <c r="A712" s="11"/>
      <c r="B712" s="11"/>
    </row>
    <row r="713">
      <c r="A713" s="11"/>
      <c r="B713" s="11"/>
    </row>
    <row r="714">
      <c r="A714" s="11"/>
      <c r="B714" s="11"/>
    </row>
    <row r="715">
      <c r="A715" s="11"/>
      <c r="B715" s="11"/>
    </row>
    <row r="716">
      <c r="A716" s="11"/>
      <c r="B716" s="11"/>
    </row>
    <row r="717">
      <c r="A717" s="11"/>
      <c r="B717" s="11"/>
    </row>
    <row r="718">
      <c r="A718" s="11"/>
      <c r="B718" s="11"/>
    </row>
    <row r="719">
      <c r="A719" s="11"/>
      <c r="B719" s="11"/>
    </row>
    <row r="720">
      <c r="A720" s="11"/>
      <c r="B720" s="11"/>
    </row>
    <row r="721">
      <c r="A721" s="11"/>
      <c r="B721" s="11"/>
    </row>
    <row r="722">
      <c r="A722" s="11"/>
      <c r="B722" s="11"/>
    </row>
    <row r="723">
      <c r="A723" s="11"/>
      <c r="B723" s="11"/>
    </row>
    <row r="724">
      <c r="A724" s="11"/>
      <c r="B724" s="11"/>
    </row>
    <row r="725">
      <c r="A725" s="11"/>
      <c r="B725" s="11"/>
    </row>
    <row r="726">
      <c r="A726" s="11"/>
      <c r="B726" s="11"/>
    </row>
    <row r="727">
      <c r="A727" s="11"/>
      <c r="B727" s="11"/>
    </row>
    <row r="728">
      <c r="A728" s="11"/>
      <c r="B728" s="11"/>
    </row>
    <row r="729">
      <c r="A729" s="11"/>
      <c r="B729" s="11"/>
    </row>
    <row r="730">
      <c r="A730" s="11"/>
      <c r="B730" s="11"/>
    </row>
    <row r="731">
      <c r="A731" s="11"/>
      <c r="B731" s="11"/>
    </row>
    <row r="732">
      <c r="A732" s="11"/>
      <c r="B732" s="11"/>
    </row>
    <row r="733">
      <c r="A733" s="11"/>
      <c r="B733" s="11"/>
    </row>
    <row r="734">
      <c r="A734" s="11"/>
      <c r="B734" s="11"/>
    </row>
    <row r="735">
      <c r="A735" s="11"/>
      <c r="B735" s="11"/>
    </row>
    <row r="736">
      <c r="A736" s="11"/>
      <c r="B736" s="11"/>
    </row>
    <row r="737">
      <c r="A737" s="11"/>
      <c r="B737" s="11"/>
    </row>
    <row r="738">
      <c r="A738" s="11"/>
      <c r="B738" s="11"/>
    </row>
    <row r="739">
      <c r="A739" s="11"/>
      <c r="B739" s="11"/>
    </row>
    <row r="740">
      <c r="A740" s="11"/>
      <c r="B740" s="11"/>
    </row>
    <row r="741">
      <c r="A741" s="11"/>
      <c r="B741" s="11"/>
    </row>
    <row r="742">
      <c r="A742" s="11"/>
      <c r="B742" s="11"/>
    </row>
    <row r="743">
      <c r="A743" s="11"/>
      <c r="B743" s="11"/>
    </row>
    <row r="744">
      <c r="A744" s="11"/>
      <c r="B744" s="11"/>
    </row>
    <row r="745">
      <c r="A745" s="11"/>
      <c r="B745" s="11"/>
    </row>
    <row r="746">
      <c r="A746" s="11"/>
      <c r="B746" s="11"/>
    </row>
    <row r="747">
      <c r="A747" s="11"/>
      <c r="B747" s="11"/>
    </row>
    <row r="748">
      <c r="A748" s="11"/>
      <c r="B748" s="11"/>
    </row>
    <row r="749">
      <c r="A749" s="11"/>
      <c r="B749" s="11"/>
    </row>
    <row r="750">
      <c r="A750" s="11"/>
      <c r="B750" s="11"/>
    </row>
    <row r="751">
      <c r="A751" s="11"/>
      <c r="B751" s="11"/>
    </row>
    <row r="752">
      <c r="A752" s="11"/>
      <c r="B752" s="11"/>
    </row>
    <row r="753">
      <c r="A753" s="11"/>
      <c r="B753" s="11"/>
    </row>
    <row r="754">
      <c r="A754" s="11"/>
      <c r="B754" s="11"/>
    </row>
    <row r="755">
      <c r="A755" s="11"/>
      <c r="B755" s="11"/>
    </row>
    <row r="756">
      <c r="A756" s="11"/>
      <c r="B756" s="11"/>
    </row>
    <row r="757">
      <c r="A757" s="11"/>
      <c r="B757" s="11"/>
    </row>
    <row r="758">
      <c r="A758" s="11"/>
      <c r="B758" s="11"/>
    </row>
    <row r="759">
      <c r="A759" s="11"/>
      <c r="B759" s="11"/>
    </row>
    <row r="760">
      <c r="A760" s="11"/>
      <c r="B760" s="11"/>
    </row>
    <row r="761">
      <c r="A761" s="11"/>
      <c r="B761" s="11"/>
    </row>
    <row r="762">
      <c r="A762" s="11"/>
      <c r="B762" s="11"/>
    </row>
    <row r="763">
      <c r="A763" s="11"/>
      <c r="B763" s="11"/>
    </row>
    <row r="764">
      <c r="A764" s="11"/>
      <c r="B764" s="11"/>
    </row>
    <row r="765">
      <c r="A765" s="11"/>
      <c r="B765" s="11"/>
    </row>
    <row r="766">
      <c r="A766" s="11"/>
      <c r="B766" s="11"/>
    </row>
    <row r="767">
      <c r="A767" s="11"/>
      <c r="B767" s="11"/>
    </row>
    <row r="768">
      <c r="A768" s="11"/>
      <c r="B768" s="11"/>
    </row>
    <row r="769">
      <c r="A769" s="11"/>
      <c r="B769" s="11"/>
    </row>
    <row r="770">
      <c r="A770" s="11"/>
      <c r="B770" s="11"/>
    </row>
    <row r="771">
      <c r="A771" s="11"/>
      <c r="B771" s="11"/>
    </row>
    <row r="772">
      <c r="A772" s="11"/>
      <c r="B772" s="11"/>
    </row>
    <row r="773">
      <c r="A773" s="11"/>
      <c r="B773" s="11"/>
    </row>
    <row r="774">
      <c r="A774" s="11"/>
      <c r="B774" s="11"/>
    </row>
    <row r="775">
      <c r="A775" s="11"/>
      <c r="B775" s="11"/>
    </row>
    <row r="776">
      <c r="A776" s="11"/>
      <c r="B776" s="11"/>
    </row>
    <row r="777">
      <c r="A777" s="11"/>
      <c r="B777" s="11"/>
    </row>
    <row r="778">
      <c r="A778" s="11"/>
      <c r="B778" s="11"/>
    </row>
    <row r="779">
      <c r="A779" s="11"/>
      <c r="B779" s="11"/>
    </row>
    <row r="780">
      <c r="A780" s="11"/>
      <c r="B780" s="11"/>
    </row>
    <row r="781">
      <c r="A781" s="11"/>
      <c r="B781" s="11"/>
    </row>
    <row r="782">
      <c r="A782" s="11"/>
      <c r="B782" s="11"/>
    </row>
    <row r="783">
      <c r="A783" s="11"/>
      <c r="B783" s="11"/>
    </row>
    <row r="784">
      <c r="A784" s="11"/>
      <c r="B784" s="11"/>
    </row>
    <row r="785">
      <c r="A785" s="11"/>
      <c r="B785" s="11"/>
    </row>
    <row r="786">
      <c r="A786" s="11"/>
      <c r="B786" s="11"/>
    </row>
    <row r="787">
      <c r="A787" s="11"/>
      <c r="B787" s="11"/>
    </row>
    <row r="788">
      <c r="A788" s="11"/>
      <c r="B788" s="11"/>
    </row>
    <row r="789">
      <c r="A789" s="11"/>
      <c r="B789" s="11"/>
    </row>
    <row r="790">
      <c r="A790" s="11"/>
      <c r="B790" s="11"/>
    </row>
    <row r="791">
      <c r="A791" s="11"/>
      <c r="B791" s="11"/>
    </row>
    <row r="792">
      <c r="A792" s="11"/>
      <c r="B792" s="11"/>
    </row>
    <row r="793">
      <c r="A793" s="11"/>
      <c r="B793" s="11"/>
    </row>
    <row r="794">
      <c r="A794" s="11"/>
      <c r="B794" s="11"/>
    </row>
    <row r="795">
      <c r="A795" s="11"/>
      <c r="B795" s="11"/>
    </row>
    <row r="796">
      <c r="A796" s="11"/>
      <c r="B796" s="11"/>
    </row>
    <row r="797">
      <c r="A797" s="11"/>
      <c r="B797" s="11"/>
    </row>
    <row r="798">
      <c r="A798" s="11"/>
      <c r="B798" s="11"/>
    </row>
    <row r="799">
      <c r="A799" s="11"/>
      <c r="B799" s="11"/>
    </row>
    <row r="800">
      <c r="A800" s="11"/>
      <c r="B800" s="11"/>
    </row>
    <row r="801">
      <c r="A801" s="11"/>
      <c r="B801" s="11"/>
    </row>
    <row r="802">
      <c r="A802" s="11"/>
      <c r="B802" s="11"/>
    </row>
    <row r="803">
      <c r="A803" s="11"/>
      <c r="B803" s="11"/>
    </row>
    <row r="804">
      <c r="A804" s="11"/>
      <c r="B804" s="11"/>
    </row>
    <row r="805">
      <c r="A805" s="11"/>
      <c r="B805" s="11"/>
    </row>
    <row r="806">
      <c r="A806" s="11"/>
      <c r="B806" s="11"/>
    </row>
    <row r="807">
      <c r="A807" s="11"/>
      <c r="B807" s="11"/>
    </row>
    <row r="808">
      <c r="A808" s="11"/>
      <c r="B808" s="11"/>
    </row>
    <row r="809">
      <c r="A809" s="11"/>
      <c r="B809" s="11"/>
    </row>
    <row r="810">
      <c r="A810" s="11"/>
      <c r="B810" s="11"/>
    </row>
    <row r="811">
      <c r="A811" s="11"/>
      <c r="B811" s="11"/>
    </row>
    <row r="812">
      <c r="A812" s="11"/>
      <c r="B812" s="11"/>
    </row>
    <row r="813">
      <c r="A813" s="11"/>
      <c r="B813" s="11"/>
    </row>
    <row r="814">
      <c r="A814" s="11"/>
      <c r="B814" s="11"/>
    </row>
    <row r="815">
      <c r="A815" s="11"/>
      <c r="B815" s="11"/>
    </row>
    <row r="816">
      <c r="A816" s="11"/>
      <c r="B816" s="11"/>
    </row>
    <row r="817">
      <c r="A817" s="11"/>
      <c r="B817" s="11"/>
    </row>
    <row r="818">
      <c r="A818" s="11"/>
      <c r="B818" s="11"/>
    </row>
    <row r="819">
      <c r="A819" s="11"/>
      <c r="B819" s="11"/>
    </row>
    <row r="820">
      <c r="A820" s="11"/>
      <c r="B820" s="11"/>
    </row>
    <row r="821">
      <c r="A821" s="11"/>
      <c r="B821" s="11"/>
    </row>
    <row r="822">
      <c r="A822" s="11"/>
      <c r="B822" s="11"/>
    </row>
    <row r="823">
      <c r="A823" s="11"/>
      <c r="B823" s="11"/>
    </row>
    <row r="824">
      <c r="A824" s="11"/>
      <c r="B824" s="11"/>
    </row>
    <row r="825">
      <c r="A825" s="11"/>
      <c r="B825" s="11"/>
    </row>
    <row r="826">
      <c r="A826" s="11"/>
      <c r="B826" s="11"/>
    </row>
    <row r="827">
      <c r="A827" s="11"/>
      <c r="B827" s="11"/>
    </row>
    <row r="828">
      <c r="A828" s="11"/>
      <c r="B828" s="11"/>
    </row>
    <row r="829">
      <c r="A829" s="11"/>
      <c r="B829" s="11"/>
    </row>
    <row r="830">
      <c r="A830" s="11"/>
      <c r="B830" s="11"/>
    </row>
    <row r="831">
      <c r="A831" s="11"/>
      <c r="B831" s="11"/>
    </row>
    <row r="832">
      <c r="A832" s="11"/>
      <c r="B832" s="11"/>
    </row>
    <row r="833">
      <c r="A833" s="11"/>
      <c r="B833" s="11"/>
    </row>
    <row r="834">
      <c r="A834" s="11"/>
      <c r="B834" s="11"/>
    </row>
    <row r="835">
      <c r="A835" s="11"/>
      <c r="B835" s="11"/>
    </row>
    <row r="836">
      <c r="A836" s="11"/>
      <c r="B836" s="11"/>
    </row>
    <row r="837">
      <c r="A837" s="11"/>
      <c r="B837" s="11"/>
    </row>
    <row r="838">
      <c r="A838" s="11"/>
      <c r="B838" s="11"/>
    </row>
    <row r="839">
      <c r="A839" s="11"/>
      <c r="B839" s="11"/>
    </row>
    <row r="840">
      <c r="A840" s="11"/>
      <c r="B840" s="11"/>
    </row>
    <row r="841">
      <c r="A841" s="11"/>
      <c r="B841" s="11"/>
    </row>
    <row r="842">
      <c r="A842" s="11"/>
      <c r="B842" s="11"/>
    </row>
    <row r="843">
      <c r="A843" s="11"/>
      <c r="B843" s="11"/>
    </row>
    <row r="844">
      <c r="A844" s="11"/>
      <c r="B844" s="11"/>
    </row>
    <row r="845">
      <c r="A845" s="11"/>
      <c r="B845" s="11"/>
    </row>
    <row r="846">
      <c r="A846" s="11"/>
      <c r="B846" s="11"/>
    </row>
    <row r="847">
      <c r="A847" s="11"/>
      <c r="B847" s="11"/>
    </row>
    <row r="848">
      <c r="A848" s="11"/>
      <c r="B848" s="11"/>
    </row>
    <row r="849">
      <c r="A849" s="11"/>
      <c r="B849" s="11"/>
    </row>
    <row r="850">
      <c r="A850" s="11"/>
      <c r="B850" s="11"/>
    </row>
    <row r="851">
      <c r="A851" s="11"/>
      <c r="B851" s="11"/>
    </row>
    <row r="852">
      <c r="A852" s="11"/>
      <c r="B852" s="11"/>
    </row>
    <row r="853">
      <c r="A853" s="11"/>
      <c r="B853" s="11"/>
    </row>
    <row r="854">
      <c r="A854" s="11"/>
      <c r="B854" s="11"/>
    </row>
    <row r="855">
      <c r="A855" s="11"/>
      <c r="B855" s="11"/>
    </row>
    <row r="856">
      <c r="A856" s="11"/>
      <c r="B856" s="11"/>
    </row>
    <row r="857">
      <c r="A857" s="11"/>
      <c r="B857" s="11"/>
    </row>
    <row r="858">
      <c r="A858" s="11"/>
      <c r="B858" s="11"/>
    </row>
    <row r="859">
      <c r="A859" s="11"/>
      <c r="B859" s="11"/>
    </row>
    <row r="860">
      <c r="A860" s="11"/>
      <c r="B860" s="11"/>
    </row>
    <row r="861">
      <c r="A861" s="11"/>
      <c r="B861" s="11"/>
    </row>
    <row r="862">
      <c r="A862" s="11"/>
      <c r="B862" s="11"/>
    </row>
    <row r="863">
      <c r="A863" s="11"/>
      <c r="B863" s="11"/>
    </row>
    <row r="864">
      <c r="A864" s="11"/>
      <c r="B864" s="11"/>
    </row>
    <row r="865">
      <c r="A865" s="11"/>
      <c r="B865" s="11"/>
    </row>
    <row r="866">
      <c r="A866" s="11"/>
      <c r="B866" s="11"/>
    </row>
    <row r="867">
      <c r="A867" s="11"/>
      <c r="B867" s="11"/>
    </row>
    <row r="868">
      <c r="A868" s="11"/>
      <c r="B868" s="11"/>
    </row>
    <row r="869">
      <c r="A869" s="11"/>
      <c r="B869" s="11"/>
    </row>
    <row r="870">
      <c r="A870" s="11"/>
      <c r="B870" s="11"/>
    </row>
    <row r="871">
      <c r="A871" s="11"/>
      <c r="B871" s="11"/>
    </row>
    <row r="872">
      <c r="A872" s="11"/>
      <c r="B872" s="11"/>
    </row>
    <row r="873">
      <c r="A873" s="11"/>
      <c r="B873" s="11"/>
    </row>
    <row r="874">
      <c r="A874" s="11"/>
      <c r="B874" s="11"/>
    </row>
    <row r="875">
      <c r="A875" s="11"/>
      <c r="B875" s="11"/>
    </row>
    <row r="876">
      <c r="A876" s="11"/>
      <c r="B876" s="11"/>
    </row>
    <row r="877">
      <c r="A877" s="11"/>
      <c r="B877" s="11"/>
    </row>
    <row r="878">
      <c r="A878" s="11"/>
      <c r="B878" s="11"/>
    </row>
    <row r="879">
      <c r="A879" s="11"/>
      <c r="B879" s="11"/>
    </row>
    <row r="880">
      <c r="A880" s="11"/>
      <c r="B880" s="11"/>
    </row>
    <row r="881">
      <c r="A881" s="11"/>
      <c r="B881" s="11"/>
    </row>
    <row r="882">
      <c r="A882" s="11"/>
      <c r="B882" s="11"/>
    </row>
    <row r="883">
      <c r="A883" s="11"/>
      <c r="B883" s="11"/>
    </row>
    <row r="884">
      <c r="A884" s="11"/>
      <c r="B884" s="11"/>
    </row>
    <row r="885">
      <c r="A885" s="11"/>
      <c r="B885" s="11"/>
    </row>
    <row r="886">
      <c r="A886" s="11"/>
      <c r="B886" s="11"/>
    </row>
    <row r="887">
      <c r="A887" s="11"/>
      <c r="B887" s="11"/>
    </row>
    <row r="888">
      <c r="A888" s="11"/>
      <c r="B888" s="11"/>
    </row>
    <row r="889">
      <c r="A889" s="11"/>
      <c r="B889" s="11"/>
    </row>
    <row r="890">
      <c r="A890" s="11"/>
      <c r="B890" s="11"/>
    </row>
    <row r="891">
      <c r="A891" s="11"/>
      <c r="B891" s="11"/>
    </row>
    <row r="892">
      <c r="A892" s="11"/>
      <c r="B892" s="11"/>
    </row>
    <row r="893">
      <c r="A893" s="11"/>
      <c r="B893" s="11"/>
    </row>
    <row r="894">
      <c r="A894" s="11"/>
      <c r="B894" s="11"/>
    </row>
    <row r="895">
      <c r="A895" s="11"/>
      <c r="B895" s="11"/>
    </row>
    <row r="896">
      <c r="A896" s="11"/>
      <c r="B896" s="11"/>
    </row>
    <row r="897">
      <c r="A897" s="11"/>
      <c r="B897" s="11"/>
    </row>
    <row r="898">
      <c r="A898" s="11"/>
      <c r="B898" s="11"/>
    </row>
    <row r="899">
      <c r="A899" s="11"/>
      <c r="B899" s="11"/>
    </row>
    <row r="900">
      <c r="A900" s="11"/>
      <c r="B900" s="11"/>
    </row>
    <row r="901">
      <c r="A901" s="11"/>
      <c r="B901" s="11"/>
    </row>
    <row r="902">
      <c r="A902" s="11"/>
      <c r="B902" s="11"/>
    </row>
    <row r="903">
      <c r="A903" s="11"/>
      <c r="B903" s="11"/>
    </row>
    <row r="904">
      <c r="A904" s="11"/>
      <c r="B904" s="11"/>
    </row>
    <row r="905">
      <c r="A905" s="11"/>
      <c r="B905" s="11"/>
    </row>
    <row r="906">
      <c r="A906" s="11"/>
      <c r="B906" s="11"/>
    </row>
    <row r="907">
      <c r="A907" s="11"/>
      <c r="B907" s="11"/>
    </row>
    <row r="908">
      <c r="A908" s="11"/>
      <c r="B908" s="11"/>
    </row>
    <row r="909">
      <c r="A909" s="11"/>
      <c r="B909" s="11"/>
    </row>
    <row r="910">
      <c r="A910" s="11"/>
      <c r="B910" s="11"/>
    </row>
    <row r="911">
      <c r="A911" s="11"/>
      <c r="B911" s="11"/>
    </row>
    <row r="912">
      <c r="A912" s="11"/>
      <c r="B912" s="11"/>
    </row>
    <row r="913">
      <c r="A913" s="11"/>
      <c r="B913" s="11"/>
    </row>
    <row r="914">
      <c r="A914" s="11"/>
      <c r="B914" s="11"/>
    </row>
    <row r="915">
      <c r="A915" s="11"/>
      <c r="B915" s="11"/>
    </row>
    <row r="916">
      <c r="A916" s="11"/>
      <c r="B916" s="11"/>
    </row>
    <row r="917">
      <c r="A917" s="11"/>
      <c r="B917" s="11"/>
    </row>
    <row r="918">
      <c r="A918" s="11"/>
      <c r="B918" s="11"/>
    </row>
    <row r="919">
      <c r="A919" s="11"/>
      <c r="B919" s="11"/>
    </row>
    <row r="920">
      <c r="A920" s="11"/>
      <c r="B920" s="11"/>
    </row>
    <row r="921">
      <c r="A921" s="11"/>
      <c r="B921" s="11"/>
    </row>
    <row r="922">
      <c r="A922" s="11"/>
      <c r="B922" s="11"/>
    </row>
    <row r="923">
      <c r="A923" s="11"/>
      <c r="B923" s="11"/>
    </row>
    <row r="924">
      <c r="A924" s="11"/>
      <c r="B924" s="11"/>
    </row>
    <row r="925">
      <c r="A925" s="11"/>
      <c r="B925" s="11"/>
    </row>
    <row r="926">
      <c r="A926" s="11"/>
      <c r="B926" s="11"/>
    </row>
    <row r="927">
      <c r="A927" s="11"/>
      <c r="B927" s="11"/>
    </row>
    <row r="928">
      <c r="A928" s="11"/>
      <c r="B928" s="11"/>
    </row>
    <row r="929">
      <c r="A929" s="11"/>
      <c r="B929" s="11"/>
    </row>
    <row r="930">
      <c r="A930" s="11"/>
      <c r="B930" s="11"/>
    </row>
    <row r="931">
      <c r="A931" s="11"/>
      <c r="B931" s="11"/>
    </row>
    <row r="932">
      <c r="A932" s="11"/>
      <c r="B932" s="11"/>
    </row>
    <row r="933">
      <c r="A933" s="11"/>
      <c r="B933" s="11"/>
    </row>
    <row r="934">
      <c r="A934" s="11"/>
      <c r="B934" s="11"/>
    </row>
    <row r="935">
      <c r="A935" s="11"/>
      <c r="B935" s="11"/>
    </row>
    <row r="936">
      <c r="A936" s="11"/>
      <c r="B936" s="11"/>
    </row>
    <row r="937">
      <c r="A937" s="11"/>
      <c r="B937" s="11"/>
    </row>
    <row r="938">
      <c r="A938" s="11"/>
      <c r="B938" s="11"/>
    </row>
    <row r="939">
      <c r="A939" s="11"/>
      <c r="B939" s="11"/>
    </row>
    <row r="940">
      <c r="A940" s="11"/>
      <c r="B940" s="11"/>
    </row>
    <row r="941">
      <c r="A941" s="11"/>
      <c r="B941" s="11"/>
    </row>
    <row r="942">
      <c r="A942" s="11"/>
      <c r="B942" s="11"/>
    </row>
    <row r="943">
      <c r="A943" s="11"/>
      <c r="B943" s="11"/>
    </row>
    <row r="944">
      <c r="A944" s="11"/>
      <c r="B944" s="11"/>
    </row>
    <row r="945">
      <c r="A945" s="11"/>
      <c r="B945" s="11"/>
    </row>
    <row r="946">
      <c r="A946" s="11"/>
      <c r="B946" s="11"/>
    </row>
    <row r="947">
      <c r="A947" s="11"/>
      <c r="B947" s="11"/>
    </row>
    <row r="948">
      <c r="A948" s="11"/>
      <c r="B948" s="11"/>
    </row>
    <row r="949">
      <c r="A949" s="11"/>
      <c r="B949" s="11"/>
    </row>
    <row r="950">
      <c r="A950" s="11"/>
      <c r="B950" s="11"/>
    </row>
    <row r="951">
      <c r="A951" s="11"/>
      <c r="B951" s="11"/>
    </row>
    <row r="952">
      <c r="A952" s="11"/>
      <c r="B952" s="11"/>
    </row>
    <row r="953">
      <c r="A953" s="11"/>
      <c r="B953" s="11"/>
    </row>
    <row r="954">
      <c r="A954" s="11"/>
      <c r="B954" s="11"/>
    </row>
    <row r="955">
      <c r="A955" s="11"/>
      <c r="B955" s="11"/>
    </row>
    <row r="956">
      <c r="A956" s="11"/>
      <c r="B956" s="11"/>
    </row>
    <row r="957">
      <c r="A957" s="11"/>
      <c r="B957" s="11"/>
    </row>
    <row r="958">
      <c r="A958" s="11"/>
      <c r="B958" s="11"/>
    </row>
    <row r="959">
      <c r="A959" s="11"/>
      <c r="B959" s="11"/>
    </row>
    <row r="960">
      <c r="A960" s="11"/>
      <c r="B960" s="11"/>
    </row>
    <row r="961">
      <c r="A961" s="11"/>
      <c r="B961" s="11"/>
    </row>
    <row r="962">
      <c r="A962" s="11"/>
      <c r="B962" s="11"/>
    </row>
    <row r="963">
      <c r="A963" s="11"/>
      <c r="B963" s="11"/>
    </row>
    <row r="964">
      <c r="A964" s="11"/>
      <c r="B964" s="11"/>
    </row>
    <row r="965">
      <c r="A965" s="11"/>
      <c r="B965" s="11"/>
    </row>
    <row r="966">
      <c r="A966" s="11"/>
      <c r="B966" s="11"/>
    </row>
    <row r="967">
      <c r="A967" s="11"/>
      <c r="B967" s="11"/>
    </row>
    <row r="968">
      <c r="A968" s="11"/>
      <c r="B968" s="11"/>
    </row>
    <row r="969">
      <c r="A969" s="11"/>
      <c r="B969" s="11"/>
    </row>
    <row r="970">
      <c r="A970" s="11"/>
      <c r="B970" s="11"/>
    </row>
    <row r="971">
      <c r="A971" s="11"/>
      <c r="B971" s="11"/>
    </row>
    <row r="972">
      <c r="A972" s="11"/>
      <c r="B972" s="11"/>
    </row>
    <row r="973">
      <c r="A973" s="11"/>
      <c r="B973" s="11"/>
    </row>
    <row r="974">
      <c r="A974" s="11"/>
      <c r="B974" s="11"/>
    </row>
    <row r="975">
      <c r="A975" s="11"/>
      <c r="B975" s="11"/>
    </row>
    <row r="976">
      <c r="A976" s="11"/>
      <c r="B976" s="11"/>
    </row>
    <row r="977">
      <c r="A977" s="11"/>
      <c r="B977" s="11"/>
    </row>
    <row r="978">
      <c r="A978" s="11"/>
      <c r="B978" s="11"/>
    </row>
    <row r="979">
      <c r="A979" s="11"/>
      <c r="B979" s="11"/>
    </row>
    <row r="980">
      <c r="A980" s="11"/>
      <c r="B980" s="11"/>
    </row>
    <row r="981">
      <c r="A981" s="11"/>
      <c r="B981" s="11"/>
    </row>
    <row r="982">
      <c r="A982" s="11"/>
      <c r="B982" s="11"/>
    </row>
    <row r="983">
      <c r="A983" s="11"/>
      <c r="B983" s="11"/>
    </row>
    <row r="984">
      <c r="A984" s="11"/>
      <c r="B984" s="11"/>
    </row>
    <row r="985">
      <c r="A985" s="11"/>
      <c r="B985" s="11"/>
    </row>
    <row r="986">
      <c r="A986" s="11"/>
      <c r="B986" s="11"/>
    </row>
    <row r="987">
      <c r="A987" s="11"/>
      <c r="B987" s="11"/>
    </row>
    <row r="988">
      <c r="A988" s="11"/>
      <c r="B988" s="11"/>
    </row>
    <row r="989">
      <c r="A989" s="11"/>
      <c r="B989" s="11"/>
    </row>
    <row r="990">
      <c r="A990" s="11"/>
      <c r="B990" s="11"/>
    </row>
    <row r="991">
      <c r="A991" s="11"/>
      <c r="B991" s="11"/>
    </row>
    <row r="992">
      <c r="A992" s="11"/>
      <c r="B992" s="11"/>
    </row>
    <row r="993">
      <c r="A993" s="11"/>
      <c r="B993" s="11"/>
    </row>
    <row r="994">
      <c r="A994" s="11"/>
      <c r="B994" s="11"/>
    </row>
    <row r="995">
      <c r="A995" s="11"/>
      <c r="B995" s="11"/>
    </row>
    <row r="996">
      <c r="A996" s="11"/>
      <c r="B996" s="11"/>
    </row>
    <row r="997">
      <c r="A997" s="11"/>
      <c r="B997" s="11"/>
    </row>
    <row r="998">
      <c r="A998" s="11"/>
      <c r="B998" s="11"/>
    </row>
    <row r="999">
      <c r="A999" s="11"/>
      <c r="B999" s="11"/>
    </row>
    <row r="1000">
      <c r="A1000" s="11"/>
      <c r="B1000" s="11"/>
    </row>
  </sheetData>
  <dataValidations>
    <dataValidation type="list" allowBlank="1" showErrorMessage="1" sqref="D2:D25">
      <formula1>"Junk,Food,Medicine,Quest,Key"</formula1>
    </dataValidation>
    <dataValidation type="list" allowBlank="1" showErrorMessage="1" sqref="H2:H25">
      <formula1>"none,buff,stamina,heal"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6.88"/>
    <col customWidth="1" min="6" max="6" width="63.13"/>
    <col customWidth="1" min="7" max="7" width="30.5"/>
  </cols>
  <sheetData>
    <row r="1">
      <c r="A1" s="1" t="s">
        <v>459</v>
      </c>
      <c r="B1" s="1" t="s">
        <v>460</v>
      </c>
      <c r="C1" s="1" t="s">
        <v>461</v>
      </c>
      <c r="D1" s="1" t="s">
        <v>462</v>
      </c>
      <c r="E1" s="1" t="s">
        <v>463</v>
      </c>
      <c r="F1" s="1" t="s">
        <v>2</v>
      </c>
      <c r="G1" s="1" t="s">
        <v>464</v>
      </c>
      <c r="H1" s="1" t="s">
        <v>3</v>
      </c>
      <c r="I1" s="1" t="s">
        <v>48</v>
      </c>
      <c r="J1" s="1" t="s">
        <v>4</v>
      </c>
    </row>
    <row r="2">
      <c r="A2" s="1" t="s">
        <v>465</v>
      </c>
      <c r="B2" s="1" t="s">
        <v>466</v>
      </c>
      <c r="C2" s="1" t="s">
        <v>467</v>
      </c>
      <c r="D2" s="1">
        <v>1.0</v>
      </c>
      <c r="E2" s="1" t="s">
        <v>468</v>
      </c>
      <c r="F2" s="1" t="s">
        <v>469</v>
      </c>
      <c r="H2" s="1" t="s">
        <v>7</v>
      </c>
      <c r="I2" s="1" t="s">
        <v>470</v>
      </c>
      <c r="J2" s="2">
        <v>46209.0</v>
      </c>
      <c r="K2" s="2"/>
    </row>
    <row r="3">
      <c r="A3" s="1" t="s">
        <v>471</v>
      </c>
      <c r="B3" s="1" t="s">
        <v>472</v>
      </c>
      <c r="C3" s="1" t="s">
        <v>473</v>
      </c>
      <c r="D3" s="1">
        <v>2.0</v>
      </c>
      <c r="E3" s="1" t="s">
        <v>474</v>
      </c>
      <c r="F3" s="1" t="s">
        <v>475</v>
      </c>
      <c r="H3" s="1" t="s">
        <v>7</v>
      </c>
      <c r="I3" s="1" t="s">
        <v>82</v>
      </c>
      <c r="J3" s="2">
        <v>46209.0</v>
      </c>
      <c r="K3" s="2"/>
    </row>
    <row r="4">
      <c r="A4" s="1" t="s">
        <v>476</v>
      </c>
      <c r="B4" s="1" t="s">
        <v>477</v>
      </c>
      <c r="C4" s="1" t="s">
        <v>478</v>
      </c>
      <c r="D4" s="1">
        <v>3.0</v>
      </c>
      <c r="E4" s="1" t="s">
        <v>479</v>
      </c>
      <c r="F4" s="1" t="s">
        <v>480</v>
      </c>
      <c r="H4" s="1" t="s">
        <v>7</v>
      </c>
      <c r="I4" s="1" t="s">
        <v>82</v>
      </c>
      <c r="J4" s="2">
        <v>46209.0</v>
      </c>
      <c r="K4" s="2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54.0"/>
    <col customWidth="1" min="6" max="6" width="21.63"/>
    <col customWidth="1" min="7" max="7" width="22.5"/>
    <col customWidth="1" min="9" max="9" width="25.13"/>
    <col customWidth="1" min="10" max="10" width="18.63"/>
    <col customWidth="1" min="12" max="12" width="19.25"/>
  </cols>
  <sheetData>
    <row r="1">
      <c r="A1" s="1" t="s">
        <v>481</v>
      </c>
      <c r="B1" s="1" t="s">
        <v>459</v>
      </c>
      <c r="C1" s="1" t="s">
        <v>482</v>
      </c>
      <c r="D1" s="1" t="s">
        <v>483</v>
      </c>
      <c r="E1" s="1" t="s">
        <v>2</v>
      </c>
      <c r="F1" s="1" t="s">
        <v>484</v>
      </c>
      <c r="G1" s="1" t="s">
        <v>485</v>
      </c>
      <c r="H1" s="1" t="s">
        <v>486</v>
      </c>
      <c r="I1" s="1" t="s">
        <v>487</v>
      </c>
      <c r="J1" s="1" t="s">
        <v>3</v>
      </c>
      <c r="K1" s="1" t="s">
        <v>48</v>
      </c>
      <c r="L1" s="1" t="s">
        <v>4</v>
      </c>
    </row>
    <row r="2">
      <c r="A2" s="1" t="s">
        <v>488</v>
      </c>
      <c r="B2" s="1" t="s">
        <v>465</v>
      </c>
      <c r="C2" s="1" t="s">
        <v>489</v>
      </c>
      <c r="D2" s="1" t="s">
        <v>490</v>
      </c>
      <c r="E2" s="1" t="s">
        <v>491</v>
      </c>
      <c r="F2" s="1" t="s">
        <v>492</v>
      </c>
      <c r="G2" s="1">
        <v>0.0</v>
      </c>
      <c r="H2" s="1" t="s">
        <v>493</v>
      </c>
      <c r="J2" s="1" t="s">
        <v>7</v>
      </c>
      <c r="K2" s="1" t="s">
        <v>82</v>
      </c>
      <c r="L2" s="2">
        <v>46209.0</v>
      </c>
      <c r="M2" s="2"/>
    </row>
    <row r="3">
      <c r="A3" s="1" t="s">
        <v>494</v>
      </c>
      <c r="B3" s="1" t="s">
        <v>465</v>
      </c>
      <c r="C3" s="1" t="s">
        <v>495</v>
      </c>
      <c r="D3" s="1" t="s">
        <v>496</v>
      </c>
      <c r="E3" s="1" t="s">
        <v>497</v>
      </c>
      <c r="F3" s="1" t="s">
        <v>498</v>
      </c>
      <c r="G3" s="1">
        <v>0.0</v>
      </c>
      <c r="H3" s="1" t="s">
        <v>493</v>
      </c>
      <c r="J3" s="1" t="s">
        <v>7</v>
      </c>
      <c r="K3" s="1" t="s">
        <v>82</v>
      </c>
      <c r="L3" s="2">
        <v>46209.0</v>
      </c>
      <c r="M3" s="2"/>
    </row>
    <row r="4">
      <c r="A4" s="1" t="s">
        <v>499</v>
      </c>
      <c r="B4" s="1" t="s">
        <v>465</v>
      </c>
      <c r="C4" s="1" t="s">
        <v>500</v>
      </c>
      <c r="D4" s="1" t="s">
        <v>501</v>
      </c>
      <c r="E4" s="1" t="s">
        <v>502</v>
      </c>
      <c r="F4" s="1" t="s">
        <v>350</v>
      </c>
      <c r="G4" s="1">
        <v>0.0</v>
      </c>
      <c r="H4" s="1" t="s">
        <v>493</v>
      </c>
      <c r="J4" s="1" t="s">
        <v>7</v>
      </c>
      <c r="K4" s="1" t="s">
        <v>82</v>
      </c>
      <c r="L4" s="2">
        <v>46209.0</v>
      </c>
      <c r="M4" s="2"/>
    </row>
    <row r="5">
      <c r="A5" s="1" t="s">
        <v>503</v>
      </c>
      <c r="B5" s="1" t="s">
        <v>465</v>
      </c>
      <c r="C5" s="1" t="s">
        <v>504</v>
      </c>
      <c r="D5" s="1" t="s">
        <v>505</v>
      </c>
      <c r="E5" s="1" t="s">
        <v>506</v>
      </c>
      <c r="F5" s="1" t="s">
        <v>507</v>
      </c>
      <c r="G5" s="1">
        <v>1.0</v>
      </c>
      <c r="H5" s="1" t="s">
        <v>508</v>
      </c>
      <c r="I5" s="1" t="s">
        <v>441</v>
      </c>
      <c r="J5" s="1" t="s">
        <v>7</v>
      </c>
      <c r="K5" s="1" t="s">
        <v>509</v>
      </c>
      <c r="L5" s="2">
        <v>46209.0</v>
      </c>
      <c r="M5" s="2"/>
    </row>
    <row r="6">
      <c r="A6" s="1" t="s">
        <v>510</v>
      </c>
      <c r="B6" s="1" t="s">
        <v>471</v>
      </c>
      <c r="C6" s="1" t="s">
        <v>511</v>
      </c>
      <c r="D6" s="1" t="s">
        <v>512</v>
      </c>
      <c r="E6" s="1" t="s">
        <v>513</v>
      </c>
      <c r="F6" s="1" t="s">
        <v>514</v>
      </c>
      <c r="G6" s="1">
        <v>0.0</v>
      </c>
      <c r="H6" s="1" t="s">
        <v>493</v>
      </c>
      <c r="J6" s="1" t="s">
        <v>7</v>
      </c>
      <c r="K6" s="1" t="s">
        <v>82</v>
      </c>
      <c r="L6" s="2">
        <v>46209.0</v>
      </c>
      <c r="M6" s="2"/>
    </row>
    <row r="7">
      <c r="A7" s="1" t="s">
        <v>515</v>
      </c>
      <c r="B7" s="1" t="s">
        <v>471</v>
      </c>
      <c r="C7" s="1" t="s">
        <v>516</v>
      </c>
      <c r="D7" s="1" t="s">
        <v>517</v>
      </c>
      <c r="E7" s="1" t="s">
        <v>518</v>
      </c>
      <c r="F7" s="1" t="s">
        <v>519</v>
      </c>
      <c r="G7" s="1">
        <v>0.0</v>
      </c>
      <c r="H7" s="1" t="s">
        <v>493</v>
      </c>
      <c r="J7" s="1" t="s">
        <v>7</v>
      </c>
      <c r="K7" s="1" t="s">
        <v>82</v>
      </c>
      <c r="L7" s="2">
        <v>46209.0</v>
      </c>
      <c r="M7" s="2"/>
    </row>
    <row r="8">
      <c r="A8" s="1" t="s">
        <v>520</v>
      </c>
      <c r="B8" s="1" t="s">
        <v>471</v>
      </c>
      <c r="C8" s="1" t="s">
        <v>521</v>
      </c>
      <c r="D8" s="1" t="s">
        <v>522</v>
      </c>
      <c r="E8" s="1" t="s">
        <v>523</v>
      </c>
      <c r="F8" s="1" t="s">
        <v>524</v>
      </c>
      <c r="G8" s="1">
        <v>0.0</v>
      </c>
      <c r="H8" s="1" t="s">
        <v>493</v>
      </c>
      <c r="J8" s="1" t="s">
        <v>7</v>
      </c>
      <c r="K8" s="1" t="s">
        <v>82</v>
      </c>
      <c r="L8" s="2">
        <v>46209.0</v>
      </c>
      <c r="M8" s="2"/>
    </row>
    <row r="9">
      <c r="A9" s="1" t="s">
        <v>525</v>
      </c>
      <c r="B9" s="1" t="s">
        <v>471</v>
      </c>
      <c r="C9" s="1" t="s">
        <v>526</v>
      </c>
      <c r="D9" s="1" t="s">
        <v>527</v>
      </c>
      <c r="E9" s="1" t="s">
        <v>528</v>
      </c>
      <c r="F9" s="1" t="s">
        <v>529</v>
      </c>
      <c r="G9" s="1">
        <v>1.0</v>
      </c>
      <c r="H9" s="1" t="s">
        <v>508</v>
      </c>
      <c r="I9" s="1" t="s">
        <v>446</v>
      </c>
      <c r="J9" s="1" t="s">
        <v>7</v>
      </c>
      <c r="K9" s="1" t="s">
        <v>509</v>
      </c>
      <c r="L9" s="2">
        <v>46209.0</v>
      </c>
      <c r="M9" s="2"/>
    </row>
    <row r="10">
      <c r="A10" s="1" t="s">
        <v>530</v>
      </c>
      <c r="B10" s="1" t="s">
        <v>476</v>
      </c>
      <c r="C10" s="1" t="s">
        <v>531</v>
      </c>
      <c r="D10" s="1" t="s">
        <v>532</v>
      </c>
      <c r="E10" s="1" t="s">
        <v>533</v>
      </c>
      <c r="F10" s="1" t="s">
        <v>534</v>
      </c>
      <c r="G10" s="1">
        <v>0.0</v>
      </c>
      <c r="H10" s="1" t="s">
        <v>493</v>
      </c>
      <c r="J10" s="1" t="s">
        <v>7</v>
      </c>
      <c r="K10" s="1" t="s">
        <v>82</v>
      </c>
      <c r="L10" s="2">
        <v>46209.0</v>
      </c>
      <c r="M10" s="2"/>
    </row>
    <row r="11">
      <c r="A11" s="1" t="s">
        <v>535</v>
      </c>
      <c r="B11" s="1" t="s">
        <v>476</v>
      </c>
      <c r="C11" s="1" t="s">
        <v>536</v>
      </c>
      <c r="D11" s="1" t="s">
        <v>537</v>
      </c>
      <c r="E11" s="1" t="s">
        <v>538</v>
      </c>
      <c r="F11" s="1" t="s">
        <v>539</v>
      </c>
      <c r="G11" s="1">
        <v>0.0</v>
      </c>
      <c r="H11" s="1" t="s">
        <v>493</v>
      </c>
      <c r="J11" s="1" t="s">
        <v>7</v>
      </c>
      <c r="K11" s="1" t="s">
        <v>82</v>
      </c>
      <c r="L11" s="2">
        <v>46209.0</v>
      </c>
      <c r="M11" s="2"/>
    </row>
    <row r="12">
      <c r="A12" s="1" t="s">
        <v>540</v>
      </c>
      <c r="B12" s="1" t="s">
        <v>476</v>
      </c>
      <c r="C12" s="1" t="s">
        <v>541</v>
      </c>
      <c r="D12" s="1" t="s">
        <v>542</v>
      </c>
      <c r="E12" s="1" t="s">
        <v>543</v>
      </c>
      <c r="F12" s="1" t="s">
        <v>355</v>
      </c>
      <c r="G12" s="1">
        <v>0.0</v>
      </c>
      <c r="H12" s="1" t="s">
        <v>493</v>
      </c>
      <c r="J12" s="1" t="s">
        <v>7</v>
      </c>
      <c r="K12" s="1" t="s">
        <v>82</v>
      </c>
      <c r="L12" s="2">
        <v>46209.0</v>
      </c>
      <c r="M12" s="2"/>
    </row>
  </sheetData>
  <dataValidations>
    <dataValidation type="list" allowBlank="1" showErrorMessage="1" sqref="B2:B12">
      <formula1>"city_01,city_02,city_03"</formula1>
    </dataValidation>
    <dataValidation type="list" allowBlank="1" showErrorMessage="1" sqref="H2:H12">
      <formula1>"always,item"</formula1>
    </dataValidation>
    <dataValidation type="list" allowBlank="1" showErrorMessage="1" sqref="K2:K12">
      <formula1>"-,히든 존·아이템 언락"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25"/>
    <col customWidth="1" min="2" max="2" width="16.38"/>
    <col customWidth="1" min="3" max="3" width="17.38"/>
    <col customWidth="1" min="5" max="5" width="22.0"/>
    <col customWidth="1" min="6" max="6" width="19.38"/>
    <col customWidth="1" min="7" max="7" width="75.5"/>
  </cols>
  <sheetData>
    <row r="1">
      <c r="A1" s="1" t="s">
        <v>544</v>
      </c>
      <c r="B1" s="1" t="s">
        <v>545</v>
      </c>
      <c r="C1" s="1" t="s">
        <v>546</v>
      </c>
      <c r="D1" s="1" t="s">
        <v>547</v>
      </c>
      <c r="E1" s="1" t="s">
        <v>548</v>
      </c>
      <c r="F1" s="1" t="s">
        <v>328</v>
      </c>
      <c r="G1" s="1" t="s">
        <v>2</v>
      </c>
      <c r="H1" s="1" t="s">
        <v>3</v>
      </c>
      <c r="I1" s="1" t="s">
        <v>48</v>
      </c>
      <c r="J1" s="1" t="s">
        <v>4</v>
      </c>
    </row>
    <row r="2">
      <c r="A2" s="1" t="s">
        <v>549</v>
      </c>
      <c r="B2" s="1" t="s">
        <v>550</v>
      </c>
      <c r="C2" s="1" t="s">
        <v>551</v>
      </c>
      <c r="D2" s="1" t="s">
        <v>398</v>
      </c>
      <c r="E2" s="1" t="s">
        <v>398</v>
      </c>
      <c r="F2" s="1" t="s">
        <v>334</v>
      </c>
      <c r="G2" s="1" t="s">
        <v>552</v>
      </c>
      <c r="H2" s="1" t="s">
        <v>7</v>
      </c>
      <c r="I2" s="1" t="s">
        <v>553</v>
      </c>
      <c r="J2" s="2">
        <v>46211.0</v>
      </c>
    </row>
    <row r="3">
      <c r="A3" s="1" t="s">
        <v>554</v>
      </c>
      <c r="B3" s="1" t="s">
        <v>555</v>
      </c>
      <c r="C3" s="1" t="s">
        <v>556</v>
      </c>
      <c r="D3" s="1" t="s">
        <v>345</v>
      </c>
      <c r="E3" s="1" t="s">
        <v>345</v>
      </c>
      <c r="F3" s="1" t="s">
        <v>557</v>
      </c>
      <c r="G3" s="1" t="s">
        <v>558</v>
      </c>
      <c r="H3" s="1" t="s">
        <v>7</v>
      </c>
      <c r="I3" s="1" t="s">
        <v>559</v>
      </c>
      <c r="J3" s="2">
        <v>46211.0</v>
      </c>
    </row>
    <row r="4">
      <c r="A4" s="1" t="s">
        <v>560</v>
      </c>
      <c r="B4" s="1" t="s">
        <v>561</v>
      </c>
      <c r="C4" s="1" t="s">
        <v>562</v>
      </c>
      <c r="D4" s="1" t="s">
        <v>371</v>
      </c>
      <c r="E4" s="1" t="s">
        <v>371</v>
      </c>
      <c r="F4" s="1" t="s">
        <v>563</v>
      </c>
      <c r="G4" s="1" t="s">
        <v>564</v>
      </c>
      <c r="H4" s="1" t="s">
        <v>7</v>
      </c>
      <c r="I4" s="1" t="s">
        <v>565</v>
      </c>
      <c r="J4" s="2">
        <v>46211.0</v>
      </c>
    </row>
    <row r="5">
      <c r="A5" s="1" t="s">
        <v>566</v>
      </c>
      <c r="B5" s="1" t="s">
        <v>567</v>
      </c>
      <c r="C5" s="1" t="s">
        <v>568</v>
      </c>
      <c r="D5" s="1" t="s">
        <v>569</v>
      </c>
      <c r="E5" s="1" t="s">
        <v>570</v>
      </c>
      <c r="F5" s="1" t="s">
        <v>571</v>
      </c>
      <c r="G5" s="1" t="s">
        <v>572</v>
      </c>
      <c r="H5" s="1" t="s">
        <v>7</v>
      </c>
      <c r="I5" s="1" t="s">
        <v>573</v>
      </c>
      <c r="J5" s="2">
        <v>46211.0</v>
      </c>
    </row>
    <row r="6">
      <c r="A6" s="1" t="s">
        <v>574</v>
      </c>
      <c r="B6" s="1" t="s">
        <v>575</v>
      </c>
      <c r="C6" s="1" t="s">
        <v>576</v>
      </c>
      <c r="D6" s="1" t="s">
        <v>577</v>
      </c>
      <c r="E6" s="1" t="s">
        <v>578</v>
      </c>
      <c r="F6" s="1" t="s">
        <v>579</v>
      </c>
      <c r="G6" s="1" t="s">
        <v>580</v>
      </c>
      <c r="H6" s="1" t="s">
        <v>7</v>
      </c>
      <c r="I6" s="1" t="s">
        <v>581</v>
      </c>
      <c r="J6" s="2">
        <v>46212.0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13"/>
    <col customWidth="1" min="2" max="2" width="16.38"/>
    <col customWidth="1" min="3" max="3" width="25.88"/>
    <col customWidth="1" min="5" max="5" width="25.38"/>
    <col customWidth="1" min="8" max="8" width="13.63"/>
    <col customWidth="1" min="15" max="15" width="14.88"/>
    <col customWidth="1" min="18" max="18" width="40.13"/>
    <col customWidth="1" min="20" max="20" width="17.38"/>
    <col customWidth="1" min="22" max="22" width="15.88"/>
    <col customWidth="1" min="23" max="23" width="19.13"/>
  </cols>
  <sheetData>
    <row r="1">
      <c r="A1" s="3" t="s">
        <v>582</v>
      </c>
      <c r="B1" s="3" t="s">
        <v>583</v>
      </c>
      <c r="C1" s="3" t="s">
        <v>584</v>
      </c>
      <c r="D1" s="3" t="s">
        <v>210</v>
      </c>
      <c r="E1" s="3" t="s">
        <v>585</v>
      </c>
      <c r="F1" s="1" t="s">
        <v>586</v>
      </c>
      <c r="G1" s="1" t="s">
        <v>587</v>
      </c>
      <c r="H1" s="1" t="s">
        <v>588</v>
      </c>
      <c r="I1" s="1" t="s">
        <v>92</v>
      </c>
      <c r="J1" s="1" t="s">
        <v>589</v>
      </c>
      <c r="K1" s="1" t="s">
        <v>108</v>
      </c>
      <c r="L1" s="1" t="s">
        <v>104</v>
      </c>
      <c r="M1" s="1" t="s">
        <v>590</v>
      </c>
      <c r="N1" s="1" t="s">
        <v>591</v>
      </c>
      <c r="O1" s="1" t="s">
        <v>592</v>
      </c>
      <c r="P1" s="1" t="s">
        <v>593</v>
      </c>
      <c r="Q1" s="1" t="s">
        <v>594</v>
      </c>
      <c r="R1" s="1" t="s">
        <v>2</v>
      </c>
      <c r="S1" s="1" t="s">
        <v>3</v>
      </c>
      <c r="T1" s="1" t="s">
        <v>48</v>
      </c>
      <c r="U1" s="1" t="s">
        <v>595</v>
      </c>
      <c r="V1" s="1" t="s">
        <v>596</v>
      </c>
      <c r="W1" s="1" t="s">
        <v>597</v>
      </c>
      <c r="X1" s="1" t="s">
        <v>598</v>
      </c>
      <c r="Y1" s="1" t="s">
        <v>4</v>
      </c>
    </row>
    <row r="2">
      <c r="A2" s="3" t="s">
        <v>599</v>
      </c>
      <c r="B2" s="3" t="s">
        <v>600</v>
      </c>
      <c r="C2" s="3" t="s">
        <v>601</v>
      </c>
      <c r="D2" s="3" t="s">
        <v>602</v>
      </c>
      <c r="E2" s="3" t="s">
        <v>603</v>
      </c>
      <c r="F2" s="1">
        <v>45.0</v>
      </c>
      <c r="G2" s="1">
        <v>5.0</v>
      </c>
      <c r="H2" s="1">
        <v>9.0</v>
      </c>
      <c r="I2" s="1">
        <v>4.0</v>
      </c>
      <c r="J2" s="1">
        <v>1.6</v>
      </c>
      <c r="K2" s="1">
        <v>6.0</v>
      </c>
      <c r="L2" s="1">
        <v>12.0</v>
      </c>
      <c r="M2" s="1">
        <v>4.0</v>
      </c>
      <c r="N2" s="1">
        <v>5.0</v>
      </c>
      <c r="O2" s="1">
        <v>3.0</v>
      </c>
      <c r="P2" s="1" t="s">
        <v>164</v>
      </c>
      <c r="Q2" s="1">
        <v>40.0</v>
      </c>
      <c r="R2" s="1" t="s">
        <v>604</v>
      </c>
      <c r="S2" s="1" t="s">
        <v>7</v>
      </c>
      <c r="T2" s="1" t="s">
        <v>82</v>
      </c>
      <c r="U2" s="1" t="s">
        <v>605</v>
      </c>
      <c r="V2" s="1">
        <f t="shared" ref="V2:V11" si="1">IF($U2="","",SWITCH($U2,"Common",1,"Rare",3,"Unique",6,"Special",10))
</f>
        <v>1</v>
      </c>
      <c r="W2" s="1">
        <f t="shared" ref="W2:W11" si="2">IF($U2="","",SWITCH($U2,"Common",15,"Rare",20,"Unique",30,"Special",60))</f>
        <v>15</v>
      </c>
      <c r="X2" s="1" t="s">
        <v>82</v>
      </c>
      <c r="Y2" s="2">
        <v>46211.0</v>
      </c>
    </row>
    <row r="3">
      <c r="A3" s="3" t="s">
        <v>606</v>
      </c>
      <c r="B3" s="3" t="s">
        <v>607</v>
      </c>
      <c r="C3" s="3" t="s">
        <v>608</v>
      </c>
      <c r="D3" s="3" t="s">
        <v>609</v>
      </c>
      <c r="E3" s="3" t="s">
        <v>610</v>
      </c>
      <c r="F3" s="1">
        <v>65.0</v>
      </c>
      <c r="G3" s="1">
        <v>7.0</v>
      </c>
      <c r="H3" s="1">
        <v>12.0</v>
      </c>
      <c r="I3" s="1">
        <v>8.0</v>
      </c>
      <c r="J3" s="1">
        <v>1.0</v>
      </c>
      <c r="K3" s="1">
        <v>5.0</v>
      </c>
      <c r="L3" s="1">
        <v>6.0</v>
      </c>
      <c r="M3" s="1">
        <v>5.0</v>
      </c>
      <c r="N3" s="1">
        <v>8.0</v>
      </c>
      <c r="O3" s="1">
        <v>4.0</v>
      </c>
      <c r="P3" s="1" t="s">
        <v>164</v>
      </c>
      <c r="Q3" s="1">
        <v>30.0</v>
      </c>
      <c r="R3" s="1" t="s">
        <v>611</v>
      </c>
      <c r="S3" s="1" t="s">
        <v>7</v>
      </c>
      <c r="T3" s="1" t="s">
        <v>82</v>
      </c>
      <c r="U3" s="1" t="s">
        <v>605</v>
      </c>
      <c r="V3" s="1">
        <f t="shared" si="1"/>
        <v>1</v>
      </c>
      <c r="W3" s="1">
        <f t="shared" si="2"/>
        <v>15</v>
      </c>
      <c r="X3" s="1" t="s">
        <v>82</v>
      </c>
      <c r="Y3" s="2">
        <v>46211.0</v>
      </c>
    </row>
    <row r="4">
      <c r="A4" s="3" t="s">
        <v>612</v>
      </c>
      <c r="B4" s="3" t="s">
        <v>613</v>
      </c>
      <c r="C4" s="3" t="s">
        <v>614</v>
      </c>
      <c r="D4" s="3" t="s">
        <v>615</v>
      </c>
      <c r="E4" s="3" t="s">
        <v>499</v>
      </c>
      <c r="F4" s="1">
        <v>160.0</v>
      </c>
      <c r="G4" s="1">
        <v>12.0</v>
      </c>
      <c r="H4" s="1">
        <v>18.0</v>
      </c>
      <c r="I4" s="1">
        <v>14.0</v>
      </c>
      <c r="J4" s="1">
        <v>0.9</v>
      </c>
      <c r="K4" s="1">
        <v>8.0</v>
      </c>
      <c r="L4" s="1">
        <v>5.0</v>
      </c>
      <c r="M4" s="1">
        <v>8.0</v>
      </c>
      <c r="N4" s="1">
        <v>20.0</v>
      </c>
      <c r="O4" s="1">
        <v>10.0</v>
      </c>
      <c r="P4" s="1" t="s">
        <v>172</v>
      </c>
      <c r="Q4" s="1">
        <v>55.0</v>
      </c>
      <c r="R4" s="1" t="s">
        <v>616</v>
      </c>
      <c r="S4" s="1" t="s">
        <v>7</v>
      </c>
      <c r="T4" s="1" t="s">
        <v>82</v>
      </c>
      <c r="U4" s="1" t="s">
        <v>617</v>
      </c>
      <c r="V4" s="1">
        <f t="shared" si="1"/>
        <v>6</v>
      </c>
      <c r="W4" s="1">
        <f t="shared" si="2"/>
        <v>30</v>
      </c>
      <c r="X4" s="1" t="s">
        <v>82</v>
      </c>
      <c r="Y4" s="2">
        <v>46211.0</v>
      </c>
    </row>
    <row r="5">
      <c r="A5" s="3" t="s">
        <v>618</v>
      </c>
      <c r="B5" s="3" t="s">
        <v>619</v>
      </c>
      <c r="C5" s="3" t="s">
        <v>620</v>
      </c>
      <c r="D5" s="3" t="s">
        <v>621</v>
      </c>
      <c r="E5" s="3" t="s">
        <v>622</v>
      </c>
      <c r="F5" s="1">
        <v>80.0</v>
      </c>
      <c r="G5" s="1">
        <v>8.0</v>
      </c>
      <c r="H5" s="1">
        <v>13.0</v>
      </c>
      <c r="I5" s="1">
        <v>12.0</v>
      </c>
      <c r="J5" s="1">
        <v>0.9</v>
      </c>
      <c r="K5" s="1">
        <v>5.0</v>
      </c>
      <c r="L5" s="1">
        <v>5.0</v>
      </c>
      <c r="M5" s="1">
        <v>4.0</v>
      </c>
      <c r="N5" s="1">
        <v>12.0</v>
      </c>
      <c r="O5" s="1">
        <v>5.0</v>
      </c>
      <c r="P5" s="1" t="s">
        <v>179</v>
      </c>
      <c r="Q5" s="1">
        <v>45.0</v>
      </c>
      <c r="R5" s="1" t="s">
        <v>623</v>
      </c>
      <c r="S5" s="1" t="s">
        <v>7</v>
      </c>
      <c r="T5" s="1" t="s">
        <v>82</v>
      </c>
      <c r="U5" s="1" t="s">
        <v>624</v>
      </c>
      <c r="V5" s="1">
        <f t="shared" si="1"/>
        <v>3</v>
      </c>
      <c r="W5" s="1">
        <f t="shared" si="2"/>
        <v>20</v>
      </c>
      <c r="X5" s="1" t="s">
        <v>82</v>
      </c>
      <c r="Y5" s="2">
        <v>46211.0</v>
      </c>
    </row>
    <row r="6">
      <c r="A6" s="3" t="s">
        <v>625</v>
      </c>
      <c r="B6" s="3" t="s">
        <v>626</v>
      </c>
      <c r="C6" s="3" t="s">
        <v>627</v>
      </c>
      <c r="D6" s="3" t="s">
        <v>621</v>
      </c>
      <c r="E6" s="3" t="s">
        <v>628</v>
      </c>
      <c r="F6" s="1">
        <v>95.0</v>
      </c>
      <c r="G6" s="1">
        <v>9.0</v>
      </c>
      <c r="H6" s="1">
        <v>15.0</v>
      </c>
      <c r="I6" s="1">
        <v>8.0</v>
      </c>
      <c r="J6" s="1">
        <v>1.0</v>
      </c>
      <c r="K6" s="1">
        <v>6.0</v>
      </c>
      <c r="L6" s="1">
        <v>7.0</v>
      </c>
      <c r="M6" s="1">
        <v>5.0</v>
      </c>
      <c r="N6" s="1">
        <v>15.0</v>
      </c>
      <c r="O6" s="1">
        <v>5.0</v>
      </c>
      <c r="P6" s="1" t="s">
        <v>172</v>
      </c>
      <c r="Q6" s="1">
        <v>35.0</v>
      </c>
      <c r="R6" s="1" t="s">
        <v>629</v>
      </c>
      <c r="S6" s="1" t="s">
        <v>7</v>
      </c>
      <c r="T6" s="1" t="s">
        <v>82</v>
      </c>
      <c r="U6" s="1" t="s">
        <v>624</v>
      </c>
      <c r="V6" s="1">
        <f t="shared" si="1"/>
        <v>3</v>
      </c>
      <c r="W6" s="1">
        <f t="shared" si="2"/>
        <v>20</v>
      </c>
      <c r="X6" s="1" t="s">
        <v>82</v>
      </c>
      <c r="Y6" s="2">
        <v>46211.0</v>
      </c>
    </row>
    <row r="7">
      <c r="A7" s="3" t="s">
        <v>630</v>
      </c>
      <c r="B7" s="3" t="s">
        <v>631</v>
      </c>
      <c r="C7" s="3" t="s">
        <v>632</v>
      </c>
      <c r="D7" s="3" t="s">
        <v>621</v>
      </c>
      <c r="E7" s="3" t="s">
        <v>520</v>
      </c>
      <c r="F7" s="1">
        <v>240.0</v>
      </c>
      <c r="G7" s="1">
        <v>16.0</v>
      </c>
      <c r="H7" s="1">
        <v>24.0</v>
      </c>
      <c r="I7" s="1">
        <v>16.0</v>
      </c>
      <c r="J7" s="1">
        <v>0.8</v>
      </c>
      <c r="K7" s="1">
        <v>8.0</v>
      </c>
      <c r="L7" s="1">
        <v>4.0</v>
      </c>
      <c r="M7" s="1">
        <v>9.0</v>
      </c>
      <c r="N7" s="1">
        <v>25.0</v>
      </c>
      <c r="O7" s="1">
        <v>12.0</v>
      </c>
      <c r="P7" s="1" t="s">
        <v>185</v>
      </c>
      <c r="Q7" s="1">
        <v>60.0</v>
      </c>
      <c r="R7" s="1" t="s">
        <v>633</v>
      </c>
      <c r="S7" s="1" t="s">
        <v>7</v>
      </c>
      <c r="T7" s="1" t="s">
        <v>82</v>
      </c>
      <c r="U7" s="1" t="s">
        <v>634</v>
      </c>
      <c r="V7" s="1">
        <f t="shared" si="1"/>
        <v>10</v>
      </c>
      <c r="W7" s="1">
        <f t="shared" si="2"/>
        <v>60</v>
      </c>
      <c r="X7" s="1" t="s">
        <v>82</v>
      </c>
      <c r="Y7" s="2">
        <v>46211.0</v>
      </c>
    </row>
    <row r="8">
      <c r="A8" s="3" t="s">
        <v>635</v>
      </c>
      <c r="B8" s="3" t="s">
        <v>636</v>
      </c>
      <c r="C8" s="3" t="s">
        <v>637</v>
      </c>
      <c r="D8" s="3" t="s">
        <v>615</v>
      </c>
      <c r="E8" s="3" t="s">
        <v>638</v>
      </c>
      <c r="F8" s="1">
        <v>110.0</v>
      </c>
      <c r="G8" s="1">
        <v>11.0</v>
      </c>
      <c r="H8" s="1">
        <v>17.0</v>
      </c>
      <c r="I8" s="1">
        <v>18.0</v>
      </c>
      <c r="J8" s="1">
        <v>1.1</v>
      </c>
      <c r="K8" s="1">
        <v>9.0</v>
      </c>
      <c r="L8" s="1">
        <v>6.0</v>
      </c>
      <c r="M8" s="1">
        <v>7.0</v>
      </c>
      <c r="N8" s="1">
        <v>20.0</v>
      </c>
      <c r="O8" s="1">
        <v>8.0</v>
      </c>
      <c r="P8" s="1" t="s">
        <v>179</v>
      </c>
      <c r="Q8" s="1">
        <v>45.0</v>
      </c>
      <c r="R8" s="1" t="s">
        <v>639</v>
      </c>
      <c r="S8" s="1" t="s">
        <v>7</v>
      </c>
      <c r="T8" s="1" t="s">
        <v>82</v>
      </c>
      <c r="U8" s="1" t="s">
        <v>624</v>
      </c>
      <c r="V8" s="1">
        <f t="shared" si="1"/>
        <v>3</v>
      </c>
      <c r="W8" s="1">
        <f t="shared" si="2"/>
        <v>20</v>
      </c>
      <c r="X8" s="1" t="s">
        <v>82</v>
      </c>
      <c r="Y8" s="2">
        <v>46211.0</v>
      </c>
    </row>
    <row r="9">
      <c r="A9" s="3" t="s">
        <v>640</v>
      </c>
      <c r="B9" s="3" t="s">
        <v>641</v>
      </c>
      <c r="C9" s="3" t="s">
        <v>642</v>
      </c>
      <c r="D9" s="3" t="s">
        <v>621</v>
      </c>
      <c r="E9" s="3" t="s">
        <v>535</v>
      </c>
      <c r="F9" s="1">
        <v>140.0</v>
      </c>
      <c r="G9" s="1">
        <v>12.0</v>
      </c>
      <c r="H9" s="1">
        <v>19.0</v>
      </c>
      <c r="I9" s="1">
        <v>12.0</v>
      </c>
      <c r="J9" s="1">
        <v>0.8</v>
      </c>
      <c r="K9" s="1">
        <v>6.0</v>
      </c>
      <c r="L9" s="1">
        <v>4.0</v>
      </c>
      <c r="M9" s="1">
        <v>6.0</v>
      </c>
      <c r="N9" s="1">
        <v>30.0</v>
      </c>
      <c r="O9" s="1">
        <v>6.0</v>
      </c>
      <c r="P9" s="1" t="s">
        <v>164</v>
      </c>
      <c r="Q9" s="1">
        <v>55.0</v>
      </c>
      <c r="R9" s="1" t="s">
        <v>643</v>
      </c>
      <c r="S9" s="1" t="s">
        <v>7</v>
      </c>
      <c r="T9" s="1" t="s">
        <v>82</v>
      </c>
      <c r="U9" s="1" t="s">
        <v>617</v>
      </c>
      <c r="V9" s="1">
        <f t="shared" si="1"/>
        <v>6</v>
      </c>
      <c r="W9" s="1">
        <f t="shared" si="2"/>
        <v>30</v>
      </c>
      <c r="X9" s="1" t="s">
        <v>82</v>
      </c>
      <c r="Y9" s="2">
        <v>46211.0</v>
      </c>
    </row>
    <row r="10">
      <c r="A10" s="3" t="s">
        <v>644</v>
      </c>
      <c r="B10" s="3" t="s">
        <v>645</v>
      </c>
      <c r="C10" s="3" t="s">
        <v>646</v>
      </c>
      <c r="D10" s="3" t="s">
        <v>615</v>
      </c>
      <c r="E10" s="3" t="s">
        <v>530</v>
      </c>
      <c r="F10" s="1">
        <v>320.0</v>
      </c>
      <c r="G10" s="1">
        <v>20.0</v>
      </c>
      <c r="H10" s="1">
        <v>30.0</v>
      </c>
      <c r="I10" s="1">
        <v>24.0</v>
      </c>
      <c r="J10" s="1">
        <v>0.7</v>
      </c>
      <c r="K10" s="1">
        <v>9.0</v>
      </c>
      <c r="L10" s="1">
        <v>3.0</v>
      </c>
      <c r="M10" s="1">
        <v>10.0</v>
      </c>
      <c r="N10" s="1">
        <v>35.0</v>
      </c>
      <c r="O10" s="1">
        <v>15.0</v>
      </c>
      <c r="P10" s="1" t="s">
        <v>185</v>
      </c>
      <c r="Q10" s="1">
        <v>65.0</v>
      </c>
      <c r="R10" s="1" t="s">
        <v>647</v>
      </c>
      <c r="S10" s="1" t="s">
        <v>7</v>
      </c>
      <c r="T10" s="1" t="s">
        <v>82</v>
      </c>
      <c r="U10" s="1" t="s">
        <v>634</v>
      </c>
      <c r="V10" s="1">
        <f t="shared" si="1"/>
        <v>10</v>
      </c>
      <c r="W10" s="1">
        <f t="shared" si="2"/>
        <v>60</v>
      </c>
      <c r="X10" s="1" t="s">
        <v>82</v>
      </c>
      <c r="Y10" s="2">
        <v>46211.0</v>
      </c>
    </row>
    <row r="11">
      <c r="A11" s="3" t="s">
        <v>648</v>
      </c>
      <c r="B11" s="3" t="s">
        <v>649</v>
      </c>
      <c r="C11" s="3" t="s">
        <v>650</v>
      </c>
      <c r="D11" s="3" t="s">
        <v>609</v>
      </c>
      <c r="E11" s="3" t="s">
        <v>603</v>
      </c>
      <c r="F11" s="1">
        <v>60.0</v>
      </c>
      <c r="G11" s="1">
        <v>5.0</v>
      </c>
      <c r="H11" s="1">
        <v>11.0</v>
      </c>
      <c r="I11" s="1">
        <v>3.0</v>
      </c>
      <c r="J11" s="1">
        <v>1.2</v>
      </c>
      <c r="K11" s="1">
        <v>8.0</v>
      </c>
      <c r="L11" s="1">
        <v>5.0</v>
      </c>
      <c r="M11" s="1">
        <v>5.0</v>
      </c>
      <c r="N11" s="1">
        <v>10.0</v>
      </c>
      <c r="O11" s="1">
        <v>4.0</v>
      </c>
      <c r="P11" s="1" t="s">
        <v>164</v>
      </c>
      <c r="Q11" s="1">
        <v>30.0</v>
      </c>
      <c r="R11" s="1" t="s">
        <v>651</v>
      </c>
      <c r="S11" s="1" t="s">
        <v>7</v>
      </c>
      <c r="T11" s="1" t="s">
        <v>82</v>
      </c>
      <c r="U11" s="1" t="s">
        <v>605</v>
      </c>
      <c r="V11" s="1">
        <f t="shared" si="1"/>
        <v>1</v>
      </c>
      <c r="W11" s="1">
        <f t="shared" si="2"/>
        <v>15</v>
      </c>
      <c r="X11" s="1" t="s">
        <v>82</v>
      </c>
      <c r="Y11" s="2">
        <v>46211.0</v>
      </c>
    </row>
    <row r="12">
      <c r="A12" s="11"/>
      <c r="B12" s="11"/>
      <c r="C12" s="11"/>
      <c r="D12" s="3"/>
      <c r="E12" s="11"/>
    </row>
    <row r="13">
      <c r="A13" s="11"/>
      <c r="B13" s="11"/>
      <c r="C13" s="11"/>
      <c r="D13" s="3"/>
      <c r="E13" s="11"/>
    </row>
    <row r="14">
      <c r="A14" s="11"/>
      <c r="B14" s="11"/>
      <c r="C14" s="11"/>
      <c r="D14" s="3"/>
      <c r="E14" s="11"/>
      <c r="T14" s="2"/>
    </row>
    <row r="15">
      <c r="A15" s="11"/>
      <c r="B15" s="11"/>
      <c r="C15" s="11"/>
      <c r="D15" s="3"/>
      <c r="E15" s="11"/>
      <c r="T15" s="2"/>
    </row>
    <row r="16">
      <c r="A16" s="11"/>
      <c r="B16" s="11"/>
      <c r="C16" s="11"/>
      <c r="D16" s="3"/>
      <c r="E16" s="11"/>
      <c r="T16" s="2"/>
    </row>
    <row r="17">
      <c r="A17" s="11"/>
      <c r="B17" s="11"/>
      <c r="C17" s="11"/>
      <c r="D17" s="3"/>
      <c r="E17" s="11"/>
      <c r="T17" s="2"/>
    </row>
    <row r="18">
      <c r="A18" s="11"/>
      <c r="B18" s="11"/>
      <c r="C18" s="11"/>
      <c r="D18" s="3"/>
      <c r="E18" s="11"/>
      <c r="T18" s="2"/>
    </row>
    <row r="19">
      <c r="A19" s="11"/>
      <c r="B19" s="11"/>
      <c r="C19" s="11"/>
      <c r="D19" s="3"/>
      <c r="E19" s="11"/>
    </row>
    <row r="20">
      <c r="A20" s="11"/>
      <c r="B20" s="11"/>
      <c r="C20" s="11"/>
      <c r="D20" s="3"/>
      <c r="E20" s="11"/>
    </row>
    <row r="21">
      <c r="A21" s="11"/>
      <c r="B21" s="11"/>
      <c r="C21" s="11"/>
      <c r="D21" s="3"/>
      <c r="E21" s="11"/>
    </row>
    <row r="22">
      <c r="A22" s="11"/>
      <c r="B22" s="11"/>
      <c r="C22" s="11"/>
      <c r="D22" s="3"/>
      <c r="E22" s="11"/>
    </row>
    <row r="23">
      <c r="A23" s="11"/>
      <c r="B23" s="11"/>
      <c r="C23" s="11"/>
      <c r="D23" s="3"/>
      <c r="E23" s="11"/>
    </row>
    <row r="24">
      <c r="A24" s="11"/>
      <c r="B24" s="11"/>
      <c r="C24" s="11"/>
      <c r="D24" s="3"/>
      <c r="E24" s="11"/>
    </row>
    <row r="25">
      <c r="A25" s="11"/>
      <c r="B25" s="11"/>
      <c r="C25" s="11"/>
      <c r="D25" s="3"/>
      <c r="E25" s="11"/>
    </row>
    <row r="26">
      <c r="A26" s="11"/>
      <c r="B26" s="11"/>
      <c r="C26" s="11"/>
      <c r="D26" s="3"/>
      <c r="E26" s="11"/>
    </row>
    <row r="27">
      <c r="A27" s="11"/>
      <c r="B27" s="11"/>
      <c r="C27" s="11"/>
      <c r="D27" s="11"/>
      <c r="E27" s="11"/>
    </row>
    <row r="28">
      <c r="A28" s="11"/>
      <c r="B28" s="11"/>
      <c r="C28" s="11"/>
      <c r="D28" s="11"/>
      <c r="E28" s="11"/>
    </row>
    <row r="29">
      <c r="A29" s="11"/>
      <c r="B29" s="11"/>
      <c r="C29" s="11"/>
      <c r="D29" s="11"/>
      <c r="E29" s="11"/>
    </row>
    <row r="30">
      <c r="A30" s="11"/>
      <c r="B30" s="11"/>
      <c r="C30" s="11"/>
      <c r="D30" s="11"/>
      <c r="E30" s="11"/>
    </row>
    <row r="31">
      <c r="A31" s="11"/>
      <c r="B31" s="11"/>
      <c r="C31" s="11"/>
      <c r="D31" s="11"/>
      <c r="E31" s="11"/>
    </row>
    <row r="32">
      <c r="A32" s="11"/>
      <c r="B32" s="11"/>
      <c r="C32" s="11"/>
      <c r="D32" s="11"/>
      <c r="E32" s="11"/>
    </row>
    <row r="33">
      <c r="A33" s="11"/>
      <c r="B33" s="11"/>
      <c r="C33" s="11"/>
      <c r="D33" s="11"/>
      <c r="E33" s="11"/>
    </row>
    <row r="34">
      <c r="A34" s="11"/>
      <c r="B34" s="11"/>
      <c r="C34" s="11"/>
      <c r="D34" s="11"/>
      <c r="E34" s="11"/>
    </row>
    <row r="35">
      <c r="A35" s="11"/>
      <c r="B35" s="11"/>
      <c r="C35" s="11"/>
      <c r="D35" s="11"/>
      <c r="E35" s="11"/>
    </row>
    <row r="36">
      <c r="A36" s="11"/>
      <c r="B36" s="11"/>
      <c r="C36" s="11"/>
      <c r="D36" s="11"/>
      <c r="E36" s="11"/>
    </row>
    <row r="37">
      <c r="A37" s="11"/>
      <c r="B37" s="11"/>
      <c r="C37" s="11"/>
      <c r="D37" s="11"/>
      <c r="E37" s="11"/>
    </row>
    <row r="38">
      <c r="A38" s="11"/>
      <c r="B38" s="11"/>
      <c r="C38" s="11"/>
      <c r="D38" s="11"/>
      <c r="E38" s="11"/>
    </row>
    <row r="39">
      <c r="A39" s="11"/>
      <c r="B39" s="11"/>
      <c r="C39" s="11"/>
      <c r="D39" s="11"/>
      <c r="E39" s="11"/>
    </row>
    <row r="40">
      <c r="A40" s="11"/>
      <c r="B40" s="11"/>
      <c r="C40" s="11"/>
      <c r="D40" s="11"/>
      <c r="E40" s="11"/>
    </row>
    <row r="41">
      <c r="A41" s="11"/>
      <c r="B41" s="11"/>
      <c r="C41" s="11"/>
      <c r="D41" s="11"/>
      <c r="E41" s="11"/>
    </row>
    <row r="42">
      <c r="A42" s="11"/>
      <c r="B42" s="11"/>
      <c r="C42" s="11"/>
      <c r="D42" s="11"/>
      <c r="E42" s="11"/>
    </row>
    <row r="43">
      <c r="A43" s="11"/>
      <c r="B43" s="11"/>
      <c r="C43" s="11"/>
      <c r="D43" s="11"/>
      <c r="E43" s="11"/>
    </row>
    <row r="44">
      <c r="A44" s="11"/>
      <c r="B44" s="11"/>
      <c r="C44" s="11"/>
      <c r="D44" s="11"/>
      <c r="E44" s="11"/>
    </row>
    <row r="45">
      <c r="A45" s="11"/>
      <c r="B45" s="11"/>
      <c r="C45" s="11"/>
      <c r="D45" s="11"/>
      <c r="E45" s="11"/>
    </row>
    <row r="46">
      <c r="A46" s="11"/>
      <c r="B46" s="11"/>
      <c r="C46" s="11"/>
      <c r="D46" s="11"/>
      <c r="E46" s="11"/>
    </row>
    <row r="47">
      <c r="A47" s="11"/>
      <c r="B47" s="11"/>
      <c r="C47" s="11"/>
      <c r="D47" s="11"/>
      <c r="E47" s="11"/>
    </row>
    <row r="48">
      <c r="A48" s="11"/>
      <c r="B48" s="11"/>
      <c r="C48" s="11"/>
      <c r="D48" s="11"/>
      <c r="E48" s="11"/>
    </row>
    <row r="49">
      <c r="A49" s="11"/>
      <c r="B49" s="11"/>
      <c r="C49" s="11"/>
      <c r="D49" s="11"/>
      <c r="E49" s="11"/>
    </row>
    <row r="50">
      <c r="A50" s="11"/>
      <c r="B50" s="11"/>
      <c r="C50" s="11"/>
      <c r="D50" s="11"/>
      <c r="E50" s="11"/>
    </row>
    <row r="51">
      <c r="A51" s="11"/>
      <c r="B51" s="11"/>
      <c r="C51" s="11"/>
      <c r="D51" s="11"/>
      <c r="E51" s="11"/>
    </row>
    <row r="52">
      <c r="A52" s="11"/>
      <c r="B52" s="11"/>
      <c r="C52" s="11"/>
      <c r="D52" s="11"/>
      <c r="E52" s="11"/>
    </row>
    <row r="53">
      <c r="A53" s="11"/>
      <c r="B53" s="11"/>
      <c r="C53" s="11"/>
      <c r="D53" s="11"/>
      <c r="E53" s="11"/>
    </row>
    <row r="54">
      <c r="A54" s="11"/>
      <c r="B54" s="11"/>
      <c r="C54" s="11"/>
      <c r="D54" s="11"/>
      <c r="E54" s="11"/>
    </row>
    <row r="55">
      <c r="A55" s="11"/>
      <c r="B55" s="11"/>
      <c r="C55" s="11"/>
      <c r="D55" s="11"/>
      <c r="E55" s="11"/>
    </row>
    <row r="56">
      <c r="A56" s="11"/>
      <c r="B56" s="11"/>
      <c r="C56" s="11"/>
      <c r="D56" s="11"/>
      <c r="E56" s="11"/>
    </row>
    <row r="57">
      <c r="A57" s="11"/>
      <c r="B57" s="11"/>
      <c r="C57" s="11"/>
      <c r="D57" s="11"/>
      <c r="E57" s="11"/>
    </row>
    <row r="58">
      <c r="A58" s="11"/>
      <c r="B58" s="11"/>
      <c r="C58" s="11"/>
      <c r="D58" s="11"/>
      <c r="E58" s="11"/>
    </row>
    <row r="59">
      <c r="A59" s="11"/>
      <c r="B59" s="11"/>
      <c r="C59" s="11"/>
      <c r="D59" s="11"/>
      <c r="E59" s="11"/>
    </row>
    <row r="60">
      <c r="A60" s="11"/>
      <c r="B60" s="11"/>
      <c r="C60" s="11"/>
      <c r="D60" s="11"/>
      <c r="E60" s="11"/>
    </row>
    <row r="61">
      <c r="A61" s="11"/>
      <c r="B61" s="11"/>
      <c r="C61" s="11"/>
      <c r="D61" s="11"/>
      <c r="E61" s="11"/>
    </row>
    <row r="62">
      <c r="A62" s="11"/>
      <c r="B62" s="11"/>
      <c r="C62" s="11"/>
      <c r="D62" s="11"/>
      <c r="E62" s="11"/>
    </row>
    <row r="63">
      <c r="A63" s="11"/>
      <c r="B63" s="11"/>
      <c r="C63" s="11"/>
      <c r="D63" s="11"/>
      <c r="E63" s="11"/>
    </row>
    <row r="64">
      <c r="A64" s="11"/>
      <c r="B64" s="11"/>
      <c r="C64" s="11"/>
      <c r="D64" s="11"/>
      <c r="E64" s="11"/>
    </row>
    <row r="65">
      <c r="A65" s="11"/>
      <c r="B65" s="11"/>
      <c r="C65" s="11"/>
      <c r="D65" s="11"/>
      <c r="E65" s="11"/>
    </row>
    <row r="66">
      <c r="A66" s="11"/>
      <c r="B66" s="11"/>
      <c r="C66" s="11"/>
      <c r="D66" s="11"/>
      <c r="E66" s="11"/>
    </row>
    <row r="67">
      <c r="A67" s="11"/>
      <c r="B67" s="11"/>
      <c r="C67" s="11"/>
      <c r="D67" s="11"/>
      <c r="E67" s="11"/>
    </row>
    <row r="68">
      <c r="A68" s="11"/>
      <c r="B68" s="11"/>
      <c r="C68" s="11"/>
      <c r="D68" s="11"/>
      <c r="E68" s="11"/>
    </row>
    <row r="69">
      <c r="A69" s="11"/>
      <c r="B69" s="11"/>
      <c r="C69" s="11"/>
      <c r="D69" s="11"/>
      <c r="E69" s="11"/>
    </row>
    <row r="70">
      <c r="A70" s="11"/>
      <c r="B70" s="11"/>
      <c r="C70" s="11"/>
      <c r="D70" s="11"/>
      <c r="E70" s="11"/>
    </row>
    <row r="71">
      <c r="A71" s="11"/>
      <c r="B71" s="11"/>
      <c r="C71" s="11"/>
      <c r="D71" s="11"/>
      <c r="E71" s="11"/>
    </row>
    <row r="72">
      <c r="A72" s="11"/>
      <c r="B72" s="11"/>
      <c r="C72" s="11"/>
      <c r="D72" s="11"/>
      <c r="E72" s="11"/>
    </row>
    <row r="73">
      <c r="A73" s="11"/>
      <c r="B73" s="11"/>
      <c r="C73" s="11"/>
      <c r="D73" s="11"/>
      <c r="E73" s="11"/>
    </row>
    <row r="74">
      <c r="A74" s="11"/>
      <c r="B74" s="11"/>
      <c r="C74" s="11"/>
      <c r="D74" s="11"/>
      <c r="E74" s="11"/>
    </row>
    <row r="75">
      <c r="A75" s="11"/>
      <c r="B75" s="11"/>
      <c r="C75" s="11"/>
      <c r="D75" s="11"/>
      <c r="E75" s="11"/>
    </row>
    <row r="76">
      <c r="A76" s="11"/>
      <c r="B76" s="11"/>
      <c r="C76" s="11"/>
      <c r="D76" s="11"/>
      <c r="E76" s="11"/>
    </row>
    <row r="77">
      <c r="A77" s="11"/>
      <c r="B77" s="11"/>
      <c r="C77" s="11"/>
      <c r="D77" s="11"/>
      <c r="E77" s="11"/>
    </row>
    <row r="78">
      <c r="A78" s="11"/>
      <c r="B78" s="11"/>
      <c r="C78" s="11"/>
      <c r="D78" s="11"/>
      <c r="E78" s="11"/>
    </row>
    <row r="79">
      <c r="A79" s="11"/>
      <c r="B79" s="11"/>
      <c r="C79" s="11"/>
      <c r="D79" s="11"/>
      <c r="E79" s="11"/>
    </row>
    <row r="80">
      <c r="A80" s="11"/>
      <c r="B80" s="11"/>
      <c r="C80" s="11"/>
      <c r="D80" s="11"/>
      <c r="E80" s="11"/>
    </row>
    <row r="81">
      <c r="A81" s="11"/>
      <c r="B81" s="11"/>
      <c r="C81" s="11"/>
      <c r="D81" s="11"/>
      <c r="E81" s="11"/>
    </row>
    <row r="82">
      <c r="A82" s="11"/>
      <c r="B82" s="11"/>
      <c r="C82" s="11"/>
      <c r="D82" s="11"/>
      <c r="E82" s="11"/>
    </row>
    <row r="83">
      <c r="A83" s="11"/>
      <c r="B83" s="11"/>
      <c r="C83" s="11"/>
      <c r="D83" s="11"/>
      <c r="E83" s="11"/>
    </row>
    <row r="84">
      <c r="A84" s="11"/>
      <c r="B84" s="11"/>
      <c r="C84" s="11"/>
      <c r="D84" s="11"/>
      <c r="E84" s="11"/>
    </row>
    <row r="85">
      <c r="A85" s="11"/>
      <c r="B85" s="11"/>
      <c r="C85" s="11"/>
      <c r="D85" s="11"/>
      <c r="E85" s="11"/>
    </row>
    <row r="86">
      <c r="A86" s="11"/>
      <c r="B86" s="11"/>
      <c r="C86" s="11"/>
      <c r="D86" s="11"/>
      <c r="E86" s="11"/>
    </row>
    <row r="87">
      <c r="A87" s="11"/>
      <c r="B87" s="11"/>
      <c r="C87" s="11"/>
      <c r="D87" s="11"/>
      <c r="E87" s="11"/>
    </row>
    <row r="88">
      <c r="A88" s="11"/>
      <c r="B88" s="11"/>
      <c r="C88" s="11"/>
      <c r="D88" s="11"/>
      <c r="E88" s="11"/>
    </row>
    <row r="89">
      <c r="A89" s="11"/>
      <c r="B89" s="11"/>
      <c r="C89" s="11"/>
      <c r="D89" s="11"/>
      <c r="E89" s="11"/>
    </row>
    <row r="90">
      <c r="A90" s="11"/>
      <c r="B90" s="11"/>
      <c r="C90" s="11"/>
      <c r="D90" s="11"/>
      <c r="E90" s="11"/>
    </row>
    <row r="91">
      <c r="A91" s="11"/>
      <c r="B91" s="11"/>
      <c r="C91" s="11"/>
      <c r="D91" s="11"/>
      <c r="E91" s="11"/>
    </row>
    <row r="92">
      <c r="A92" s="11"/>
      <c r="B92" s="11"/>
      <c r="C92" s="11"/>
      <c r="D92" s="11"/>
      <c r="E92" s="11"/>
    </row>
    <row r="93">
      <c r="A93" s="11"/>
      <c r="B93" s="11"/>
      <c r="C93" s="11"/>
      <c r="D93" s="11"/>
      <c r="E93" s="11"/>
    </row>
    <row r="94">
      <c r="A94" s="11"/>
      <c r="B94" s="11"/>
      <c r="C94" s="11"/>
      <c r="D94" s="11"/>
      <c r="E94" s="11"/>
    </row>
    <row r="95">
      <c r="A95" s="11"/>
      <c r="B95" s="11"/>
      <c r="C95" s="11"/>
      <c r="D95" s="11"/>
      <c r="E95" s="11"/>
    </row>
    <row r="96">
      <c r="A96" s="11"/>
      <c r="B96" s="11"/>
      <c r="C96" s="11"/>
      <c r="D96" s="11"/>
      <c r="E96" s="11"/>
    </row>
    <row r="97">
      <c r="A97" s="11"/>
      <c r="B97" s="11"/>
      <c r="C97" s="11"/>
      <c r="D97" s="11"/>
      <c r="E97" s="11"/>
    </row>
    <row r="98">
      <c r="A98" s="11"/>
      <c r="B98" s="11"/>
      <c r="C98" s="11"/>
      <c r="D98" s="11"/>
      <c r="E98" s="11"/>
    </row>
    <row r="99">
      <c r="A99" s="11"/>
      <c r="B99" s="11"/>
      <c r="C99" s="11"/>
      <c r="D99" s="11"/>
      <c r="E99" s="11"/>
    </row>
    <row r="100">
      <c r="A100" s="11"/>
      <c r="B100" s="11"/>
      <c r="C100" s="11"/>
      <c r="D100" s="11"/>
      <c r="E100" s="11"/>
    </row>
    <row r="101">
      <c r="A101" s="11"/>
      <c r="B101" s="11"/>
      <c r="C101" s="11"/>
      <c r="D101" s="11"/>
      <c r="E101" s="11"/>
    </row>
    <row r="102">
      <c r="A102" s="11"/>
      <c r="B102" s="11"/>
      <c r="C102" s="11"/>
      <c r="D102" s="11"/>
      <c r="E102" s="11"/>
    </row>
    <row r="103">
      <c r="A103" s="11"/>
      <c r="B103" s="11"/>
      <c r="C103" s="11"/>
      <c r="D103" s="11"/>
      <c r="E103" s="11"/>
    </row>
    <row r="104">
      <c r="A104" s="11"/>
      <c r="B104" s="11"/>
      <c r="C104" s="11"/>
      <c r="D104" s="11"/>
      <c r="E104" s="11"/>
    </row>
    <row r="105">
      <c r="A105" s="11"/>
      <c r="B105" s="11"/>
      <c r="C105" s="11"/>
      <c r="D105" s="11"/>
      <c r="E105" s="11"/>
    </row>
    <row r="106">
      <c r="A106" s="11"/>
      <c r="B106" s="11"/>
      <c r="C106" s="11"/>
      <c r="D106" s="11"/>
      <c r="E106" s="11"/>
    </row>
    <row r="107">
      <c r="A107" s="11"/>
      <c r="B107" s="11"/>
      <c r="C107" s="11"/>
      <c r="D107" s="11"/>
      <c r="E107" s="11"/>
    </row>
    <row r="108">
      <c r="A108" s="11"/>
      <c r="B108" s="11"/>
      <c r="C108" s="11"/>
      <c r="D108" s="11"/>
      <c r="E108" s="11"/>
    </row>
    <row r="109">
      <c r="A109" s="11"/>
      <c r="B109" s="11"/>
      <c r="C109" s="11"/>
      <c r="D109" s="11"/>
      <c r="E109" s="11"/>
    </row>
    <row r="110">
      <c r="A110" s="11"/>
      <c r="B110" s="11"/>
      <c r="C110" s="11"/>
      <c r="D110" s="11"/>
      <c r="E110" s="11"/>
    </row>
    <row r="111">
      <c r="A111" s="11"/>
      <c r="B111" s="11"/>
      <c r="C111" s="11"/>
      <c r="D111" s="11"/>
      <c r="E111" s="11"/>
    </row>
    <row r="112">
      <c r="A112" s="11"/>
      <c r="B112" s="11"/>
      <c r="C112" s="11"/>
      <c r="D112" s="11"/>
      <c r="E112" s="11"/>
    </row>
    <row r="113">
      <c r="A113" s="11"/>
      <c r="B113" s="11"/>
      <c r="C113" s="11"/>
      <c r="D113" s="11"/>
      <c r="E113" s="11"/>
    </row>
    <row r="114">
      <c r="A114" s="11"/>
      <c r="B114" s="11"/>
      <c r="C114" s="11"/>
      <c r="D114" s="11"/>
      <c r="E114" s="11"/>
    </row>
    <row r="115">
      <c r="A115" s="11"/>
      <c r="B115" s="11"/>
      <c r="C115" s="11"/>
      <c r="D115" s="11"/>
      <c r="E115" s="11"/>
    </row>
    <row r="116">
      <c r="A116" s="11"/>
      <c r="B116" s="11"/>
      <c r="C116" s="11"/>
      <c r="D116" s="11"/>
      <c r="E116" s="11"/>
    </row>
    <row r="117">
      <c r="A117" s="11"/>
      <c r="B117" s="11"/>
      <c r="C117" s="11"/>
      <c r="D117" s="11"/>
      <c r="E117" s="11"/>
    </row>
    <row r="118">
      <c r="A118" s="11"/>
      <c r="B118" s="11"/>
      <c r="C118" s="11"/>
      <c r="D118" s="11"/>
      <c r="E118" s="11"/>
    </row>
    <row r="119">
      <c r="A119" s="11"/>
      <c r="B119" s="11"/>
      <c r="C119" s="11"/>
      <c r="D119" s="11"/>
      <c r="E119" s="11"/>
    </row>
    <row r="120">
      <c r="A120" s="11"/>
      <c r="B120" s="11"/>
      <c r="C120" s="11"/>
      <c r="D120" s="11"/>
      <c r="E120" s="11"/>
    </row>
    <row r="121">
      <c r="A121" s="11"/>
      <c r="B121" s="11"/>
      <c r="C121" s="11"/>
      <c r="D121" s="11"/>
      <c r="E121" s="11"/>
    </row>
    <row r="122">
      <c r="A122" s="11"/>
      <c r="B122" s="11"/>
      <c r="C122" s="11"/>
      <c r="D122" s="11"/>
      <c r="E122" s="11"/>
    </row>
    <row r="123">
      <c r="A123" s="11"/>
      <c r="B123" s="11"/>
      <c r="C123" s="11"/>
      <c r="D123" s="11"/>
      <c r="E123" s="11"/>
    </row>
    <row r="124">
      <c r="A124" s="11"/>
      <c r="B124" s="11"/>
      <c r="C124" s="11"/>
      <c r="D124" s="11"/>
      <c r="E124" s="11"/>
    </row>
    <row r="125">
      <c r="A125" s="11"/>
      <c r="B125" s="11"/>
      <c r="C125" s="11"/>
      <c r="D125" s="11"/>
      <c r="E125" s="11"/>
    </row>
    <row r="126">
      <c r="A126" s="11"/>
      <c r="B126" s="11"/>
      <c r="C126" s="11"/>
      <c r="D126" s="11"/>
      <c r="E126" s="11"/>
    </row>
    <row r="127">
      <c r="A127" s="11"/>
      <c r="B127" s="11"/>
      <c r="C127" s="11"/>
      <c r="D127" s="11"/>
      <c r="E127" s="11"/>
    </row>
    <row r="128">
      <c r="A128" s="11"/>
      <c r="B128" s="11"/>
      <c r="C128" s="11"/>
      <c r="D128" s="11"/>
      <c r="E128" s="11"/>
    </row>
    <row r="129">
      <c r="A129" s="11"/>
      <c r="B129" s="11"/>
      <c r="C129" s="11"/>
      <c r="D129" s="11"/>
      <c r="E129" s="11"/>
    </row>
    <row r="130">
      <c r="A130" s="11"/>
      <c r="B130" s="11"/>
      <c r="C130" s="11"/>
      <c r="D130" s="11"/>
      <c r="E130" s="11"/>
    </row>
    <row r="131">
      <c r="A131" s="11"/>
      <c r="B131" s="11"/>
      <c r="C131" s="11"/>
      <c r="D131" s="11"/>
      <c r="E131" s="11"/>
    </row>
    <row r="132">
      <c r="A132" s="11"/>
      <c r="B132" s="11"/>
      <c r="C132" s="11"/>
      <c r="D132" s="11"/>
      <c r="E132" s="11"/>
    </row>
    <row r="133">
      <c r="A133" s="11"/>
      <c r="B133" s="11"/>
      <c r="C133" s="11"/>
      <c r="D133" s="11"/>
      <c r="E133" s="11"/>
    </row>
    <row r="134">
      <c r="A134" s="11"/>
      <c r="B134" s="11"/>
      <c r="C134" s="11"/>
      <c r="D134" s="11"/>
      <c r="E134" s="11"/>
    </row>
    <row r="135">
      <c r="A135" s="11"/>
      <c r="B135" s="11"/>
      <c r="C135" s="11"/>
      <c r="D135" s="11"/>
      <c r="E135" s="11"/>
    </row>
    <row r="136">
      <c r="A136" s="11"/>
      <c r="B136" s="11"/>
      <c r="C136" s="11"/>
      <c r="D136" s="11"/>
      <c r="E136" s="11"/>
    </row>
    <row r="137">
      <c r="A137" s="11"/>
      <c r="B137" s="11"/>
      <c r="C137" s="11"/>
      <c r="D137" s="11"/>
      <c r="E137" s="11"/>
    </row>
    <row r="138">
      <c r="A138" s="11"/>
      <c r="B138" s="11"/>
      <c r="C138" s="11"/>
      <c r="D138" s="11"/>
      <c r="E138" s="11"/>
    </row>
    <row r="139">
      <c r="A139" s="11"/>
      <c r="B139" s="11"/>
      <c r="C139" s="11"/>
      <c r="D139" s="11"/>
      <c r="E139" s="11"/>
    </row>
    <row r="140">
      <c r="A140" s="11"/>
      <c r="B140" s="11"/>
      <c r="C140" s="11"/>
      <c r="D140" s="11"/>
      <c r="E140" s="11"/>
    </row>
    <row r="141">
      <c r="A141" s="11"/>
      <c r="B141" s="11"/>
      <c r="C141" s="11"/>
      <c r="D141" s="11"/>
      <c r="E141" s="11"/>
    </row>
    <row r="142">
      <c r="A142" s="11"/>
      <c r="B142" s="11"/>
      <c r="C142" s="11"/>
      <c r="D142" s="11"/>
      <c r="E142" s="11"/>
    </row>
    <row r="143">
      <c r="A143" s="11"/>
      <c r="B143" s="11"/>
      <c r="C143" s="11"/>
      <c r="D143" s="11"/>
      <c r="E143" s="11"/>
    </row>
    <row r="144">
      <c r="A144" s="11"/>
      <c r="B144" s="11"/>
      <c r="C144" s="11"/>
      <c r="D144" s="11"/>
      <c r="E144" s="11"/>
    </row>
    <row r="145">
      <c r="A145" s="11"/>
      <c r="B145" s="11"/>
      <c r="C145" s="11"/>
      <c r="D145" s="11"/>
      <c r="E145" s="11"/>
    </row>
    <row r="146">
      <c r="A146" s="11"/>
      <c r="B146" s="11"/>
      <c r="C146" s="11"/>
      <c r="D146" s="11"/>
      <c r="E146" s="11"/>
    </row>
    <row r="147">
      <c r="A147" s="11"/>
      <c r="B147" s="11"/>
      <c r="C147" s="11"/>
      <c r="D147" s="11"/>
      <c r="E147" s="11"/>
    </row>
    <row r="148">
      <c r="A148" s="11"/>
      <c r="B148" s="11"/>
      <c r="C148" s="11"/>
      <c r="D148" s="11"/>
      <c r="E148" s="11"/>
    </row>
    <row r="149">
      <c r="A149" s="11"/>
      <c r="B149" s="11"/>
      <c r="C149" s="11"/>
      <c r="D149" s="11"/>
      <c r="E149" s="11"/>
    </row>
    <row r="150">
      <c r="A150" s="11"/>
      <c r="B150" s="11"/>
      <c r="C150" s="11"/>
      <c r="D150" s="11"/>
      <c r="E150" s="11"/>
    </row>
    <row r="151">
      <c r="A151" s="11"/>
      <c r="B151" s="11"/>
      <c r="C151" s="11"/>
      <c r="D151" s="11"/>
      <c r="E151" s="11"/>
    </row>
    <row r="152">
      <c r="A152" s="11"/>
      <c r="B152" s="11"/>
      <c r="C152" s="11"/>
      <c r="D152" s="11"/>
      <c r="E152" s="11"/>
    </row>
    <row r="153">
      <c r="A153" s="11"/>
      <c r="B153" s="11"/>
      <c r="C153" s="11"/>
      <c r="D153" s="11"/>
      <c r="E153" s="11"/>
    </row>
    <row r="154">
      <c r="A154" s="11"/>
      <c r="B154" s="11"/>
      <c r="C154" s="11"/>
      <c r="D154" s="11"/>
      <c r="E154" s="11"/>
    </row>
    <row r="155">
      <c r="A155" s="11"/>
      <c r="B155" s="11"/>
      <c r="C155" s="11"/>
      <c r="D155" s="11"/>
      <c r="E155" s="11"/>
    </row>
    <row r="156">
      <c r="A156" s="11"/>
      <c r="B156" s="11"/>
      <c r="C156" s="11"/>
      <c r="D156" s="11"/>
      <c r="E156" s="11"/>
    </row>
    <row r="157">
      <c r="A157" s="11"/>
      <c r="B157" s="11"/>
      <c r="C157" s="11"/>
      <c r="D157" s="11"/>
      <c r="E157" s="11"/>
    </row>
    <row r="158">
      <c r="A158" s="11"/>
      <c r="B158" s="11"/>
      <c r="C158" s="11"/>
      <c r="D158" s="11"/>
      <c r="E158" s="11"/>
    </row>
    <row r="159">
      <c r="A159" s="11"/>
      <c r="B159" s="11"/>
      <c r="C159" s="11"/>
      <c r="D159" s="11"/>
      <c r="E159" s="11"/>
    </row>
    <row r="160">
      <c r="A160" s="11"/>
      <c r="B160" s="11"/>
      <c r="C160" s="11"/>
      <c r="D160" s="11"/>
      <c r="E160" s="11"/>
    </row>
    <row r="161">
      <c r="A161" s="11"/>
      <c r="B161" s="11"/>
      <c r="C161" s="11"/>
      <c r="D161" s="11"/>
      <c r="E161" s="11"/>
    </row>
    <row r="162">
      <c r="A162" s="11"/>
      <c r="B162" s="11"/>
      <c r="C162" s="11"/>
      <c r="D162" s="11"/>
      <c r="E162" s="11"/>
    </row>
    <row r="163">
      <c r="A163" s="11"/>
      <c r="B163" s="11"/>
      <c r="C163" s="11"/>
      <c r="D163" s="11"/>
      <c r="E163" s="11"/>
    </row>
    <row r="164">
      <c r="A164" s="11"/>
      <c r="B164" s="11"/>
      <c r="C164" s="11"/>
      <c r="D164" s="11"/>
      <c r="E164" s="11"/>
    </row>
    <row r="165">
      <c r="A165" s="11"/>
      <c r="B165" s="11"/>
      <c r="C165" s="11"/>
      <c r="D165" s="11"/>
      <c r="E165" s="11"/>
    </row>
    <row r="166">
      <c r="A166" s="11"/>
      <c r="B166" s="11"/>
      <c r="C166" s="11"/>
      <c r="D166" s="11"/>
      <c r="E166" s="11"/>
    </row>
    <row r="167">
      <c r="A167" s="11"/>
      <c r="B167" s="11"/>
      <c r="C167" s="11"/>
      <c r="D167" s="11"/>
      <c r="E167" s="11"/>
    </row>
    <row r="168">
      <c r="A168" s="11"/>
      <c r="B168" s="11"/>
      <c r="C168" s="11"/>
      <c r="D168" s="11"/>
      <c r="E168" s="11"/>
    </row>
    <row r="169">
      <c r="A169" s="11"/>
      <c r="B169" s="11"/>
      <c r="C169" s="11"/>
      <c r="D169" s="11"/>
      <c r="E169" s="11"/>
    </row>
    <row r="170">
      <c r="A170" s="11"/>
      <c r="B170" s="11"/>
      <c r="C170" s="11"/>
      <c r="D170" s="11"/>
      <c r="E170" s="11"/>
    </row>
    <row r="171">
      <c r="A171" s="11"/>
      <c r="B171" s="11"/>
      <c r="C171" s="11"/>
      <c r="D171" s="11"/>
      <c r="E171" s="11"/>
    </row>
    <row r="172">
      <c r="A172" s="11"/>
      <c r="B172" s="11"/>
      <c r="C172" s="11"/>
      <c r="D172" s="11"/>
      <c r="E172" s="11"/>
    </row>
    <row r="173">
      <c r="A173" s="11"/>
      <c r="B173" s="11"/>
      <c r="C173" s="11"/>
      <c r="D173" s="11"/>
      <c r="E173" s="11"/>
    </row>
    <row r="174">
      <c r="A174" s="11"/>
      <c r="B174" s="11"/>
      <c r="C174" s="11"/>
      <c r="D174" s="11"/>
      <c r="E174" s="11"/>
    </row>
    <row r="175">
      <c r="A175" s="11"/>
      <c r="B175" s="11"/>
      <c r="C175" s="11"/>
      <c r="D175" s="11"/>
      <c r="E175" s="11"/>
    </row>
    <row r="176">
      <c r="A176" s="11"/>
      <c r="B176" s="11"/>
      <c r="C176" s="11"/>
      <c r="D176" s="11"/>
      <c r="E176" s="11"/>
    </row>
    <row r="177">
      <c r="A177" s="11"/>
      <c r="B177" s="11"/>
      <c r="C177" s="11"/>
      <c r="D177" s="11"/>
      <c r="E177" s="11"/>
    </row>
    <row r="178">
      <c r="A178" s="11"/>
      <c r="B178" s="11"/>
      <c r="C178" s="11"/>
      <c r="D178" s="11"/>
      <c r="E178" s="11"/>
    </row>
    <row r="179">
      <c r="A179" s="11"/>
      <c r="B179" s="11"/>
      <c r="C179" s="11"/>
      <c r="D179" s="11"/>
      <c r="E179" s="11"/>
    </row>
    <row r="180">
      <c r="A180" s="11"/>
      <c r="B180" s="11"/>
      <c r="C180" s="11"/>
      <c r="D180" s="11"/>
      <c r="E180" s="11"/>
    </row>
    <row r="181">
      <c r="A181" s="11"/>
      <c r="B181" s="11"/>
      <c r="C181" s="11"/>
      <c r="D181" s="11"/>
      <c r="E181" s="11"/>
    </row>
    <row r="182">
      <c r="A182" s="11"/>
      <c r="B182" s="11"/>
      <c r="C182" s="11"/>
      <c r="D182" s="11"/>
      <c r="E182" s="11"/>
    </row>
    <row r="183">
      <c r="A183" s="11"/>
      <c r="B183" s="11"/>
      <c r="C183" s="11"/>
      <c r="D183" s="11"/>
      <c r="E183" s="11"/>
    </row>
    <row r="184">
      <c r="A184" s="11"/>
      <c r="B184" s="11"/>
      <c r="C184" s="11"/>
      <c r="D184" s="11"/>
      <c r="E184" s="11"/>
    </row>
    <row r="185">
      <c r="A185" s="11"/>
      <c r="B185" s="11"/>
      <c r="C185" s="11"/>
      <c r="D185" s="11"/>
      <c r="E185" s="11"/>
    </row>
    <row r="186">
      <c r="A186" s="11"/>
      <c r="B186" s="11"/>
      <c r="C186" s="11"/>
      <c r="D186" s="11"/>
      <c r="E186" s="11"/>
    </row>
    <row r="187">
      <c r="A187" s="11"/>
      <c r="B187" s="11"/>
      <c r="C187" s="11"/>
      <c r="D187" s="11"/>
      <c r="E187" s="11"/>
    </row>
    <row r="188">
      <c r="A188" s="11"/>
      <c r="B188" s="11"/>
      <c r="C188" s="11"/>
      <c r="D188" s="11"/>
      <c r="E188" s="11"/>
    </row>
    <row r="189">
      <c r="A189" s="11"/>
      <c r="B189" s="11"/>
      <c r="C189" s="11"/>
      <c r="D189" s="11"/>
      <c r="E189" s="11"/>
    </row>
    <row r="190">
      <c r="A190" s="11"/>
      <c r="B190" s="11"/>
      <c r="C190" s="11"/>
      <c r="D190" s="11"/>
      <c r="E190" s="11"/>
    </row>
    <row r="191">
      <c r="A191" s="11"/>
      <c r="B191" s="11"/>
      <c r="C191" s="11"/>
      <c r="D191" s="11"/>
      <c r="E191" s="11"/>
    </row>
    <row r="192">
      <c r="A192" s="11"/>
      <c r="B192" s="11"/>
      <c r="C192" s="11"/>
      <c r="D192" s="11"/>
      <c r="E192" s="11"/>
    </row>
    <row r="193">
      <c r="A193" s="11"/>
      <c r="B193" s="11"/>
      <c r="C193" s="11"/>
      <c r="D193" s="11"/>
      <c r="E193" s="11"/>
    </row>
    <row r="194">
      <c r="A194" s="11"/>
      <c r="B194" s="11"/>
      <c r="C194" s="11"/>
      <c r="D194" s="11"/>
      <c r="E194" s="11"/>
    </row>
    <row r="195">
      <c r="A195" s="11"/>
      <c r="B195" s="11"/>
      <c r="C195" s="11"/>
      <c r="D195" s="11"/>
      <c r="E195" s="11"/>
    </row>
    <row r="196">
      <c r="A196" s="11"/>
      <c r="B196" s="11"/>
      <c r="C196" s="11"/>
      <c r="D196" s="11"/>
      <c r="E196" s="11"/>
    </row>
    <row r="197">
      <c r="A197" s="11"/>
      <c r="B197" s="11"/>
      <c r="C197" s="11"/>
      <c r="D197" s="11"/>
      <c r="E197" s="11"/>
    </row>
    <row r="198">
      <c r="A198" s="11"/>
      <c r="B198" s="11"/>
      <c r="C198" s="11"/>
      <c r="D198" s="11"/>
      <c r="E198" s="11"/>
    </row>
    <row r="199">
      <c r="A199" s="11"/>
      <c r="B199" s="11"/>
      <c r="C199" s="11"/>
      <c r="D199" s="11"/>
      <c r="E199" s="11"/>
    </row>
    <row r="200">
      <c r="A200" s="11"/>
      <c r="B200" s="11"/>
      <c r="C200" s="11"/>
      <c r="D200" s="11"/>
      <c r="E200" s="11"/>
    </row>
    <row r="201">
      <c r="A201" s="11"/>
      <c r="B201" s="11"/>
      <c r="C201" s="11"/>
      <c r="D201" s="11"/>
      <c r="E201" s="11"/>
    </row>
    <row r="202">
      <c r="A202" s="11"/>
      <c r="B202" s="11"/>
      <c r="C202" s="11"/>
      <c r="D202" s="11"/>
      <c r="E202" s="11"/>
    </row>
    <row r="203">
      <c r="A203" s="11"/>
      <c r="B203" s="11"/>
      <c r="C203" s="11"/>
      <c r="D203" s="11"/>
      <c r="E203" s="11"/>
    </row>
    <row r="204">
      <c r="A204" s="11"/>
      <c r="B204" s="11"/>
      <c r="C204" s="11"/>
      <c r="D204" s="11"/>
      <c r="E204" s="11"/>
    </row>
    <row r="205">
      <c r="A205" s="11"/>
      <c r="B205" s="11"/>
      <c r="C205" s="11"/>
      <c r="D205" s="11"/>
      <c r="E205" s="11"/>
    </row>
    <row r="206">
      <c r="A206" s="11"/>
      <c r="B206" s="11"/>
      <c r="C206" s="11"/>
      <c r="D206" s="11"/>
      <c r="E206" s="11"/>
    </row>
    <row r="207">
      <c r="A207" s="11"/>
      <c r="B207" s="11"/>
      <c r="C207" s="11"/>
      <c r="D207" s="11"/>
      <c r="E207" s="11"/>
    </row>
    <row r="208">
      <c r="A208" s="11"/>
      <c r="B208" s="11"/>
      <c r="C208" s="11"/>
      <c r="D208" s="11"/>
      <c r="E208" s="11"/>
    </row>
    <row r="209">
      <c r="A209" s="11"/>
      <c r="B209" s="11"/>
      <c r="C209" s="11"/>
      <c r="D209" s="11"/>
      <c r="E209" s="11"/>
    </row>
    <row r="210">
      <c r="A210" s="11"/>
      <c r="B210" s="11"/>
      <c r="C210" s="11"/>
      <c r="D210" s="11"/>
      <c r="E210" s="11"/>
    </row>
    <row r="211">
      <c r="A211" s="11"/>
      <c r="B211" s="11"/>
      <c r="C211" s="11"/>
      <c r="D211" s="11"/>
      <c r="E211" s="11"/>
    </row>
    <row r="212">
      <c r="A212" s="11"/>
      <c r="B212" s="11"/>
      <c r="C212" s="11"/>
      <c r="D212" s="11"/>
      <c r="E212" s="11"/>
    </row>
    <row r="213">
      <c r="A213" s="11"/>
      <c r="B213" s="11"/>
      <c r="C213" s="11"/>
      <c r="D213" s="11"/>
      <c r="E213" s="11"/>
    </row>
    <row r="214">
      <c r="A214" s="11"/>
      <c r="B214" s="11"/>
      <c r="C214" s="11"/>
      <c r="D214" s="11"/>
      <c r="E214" s="11"/>
    </row>
    <row r="215">
      <c r="A215" s="11"/>
      <c r="B215" s="11"/>
      <c r="C215" s="11"/>
      <c r="D215" s="11"/>
      <c r="E215" s="11"/>
    </row>
    <row r="216">
      <c r="A216" s="11"/>
      <c r="B216" s="11"/>
      <c r="C216" s="11"/>
      <c r="D216" s="11"/>
      <c r="E216" s="11"/>
    </row>
    <row r="217">
      <c r="A217" s="11"/>
      <c r="B217" s="11"/>
      <c r="C217" s="11"/>
      <c r="D217" s="11"/>
      <c r="E217" s="11"/>
    </row>
    <row r="218">
      <c r="A218" s="11"/>
      <c r="B218" s="11"/>
      <c r="C218" s="11"/>
      <c r="D218" s="11"/>
      <c r="E218" s="11"/>
    </row>
    <row r="219">
      <c r="A219" s="11"/>
      <c r="B219" s="11"/>
      <c r="C219" s="11"/>
      <c r="D219" s="11"/>
      <c r="E219" s="11"/>
    </row>
    <row r="220">
      <c r="A220" s="11"/>
      <c r="B220" s="11"/>
      <c r="C220" s="11"/>
      <c r="D220" s="11"/>
      <c r="E220" s="11"/>
    </row>
    <row r="221">
      <c r="A221" s="11"/>
      <c r="B221" s="11"/>
      <c r="C221" s="11"/>
      <c r="D221" s="11"/>
      <c r="E221" s="11"/>
    </row>
    <row r="222">
      <c r="A222" s="11"/>
      <c r="B222" s="11"/>
      <c r="C222" s="11"/>
      <c r="D222" s="11"/>
      <c r="E222" s="11"/>
    </row>
    <row r="223">
      <c r="A223" s="11"/>
      <c r="B223" s="11"/>
      <c r="C223" s="11"/>
      <c r="D223" s="11"/>
      <c r="E223" s="11"/>
    </row>
    <row r="224">
      <c r="A224" s="11"/>
      <c r="B224" s="11"/>
      <c r="C224" s="11"/>
      <c r="D224" s="11"/>
      <c r="E224" s="11"/>
    </row>
    <row r="225">
      <c r="A225" s="11"/>
      <c r="B225" s="11"/>
      <c r="C225" s="11"/>
      <c r="D225" s="11"/>
      <c r="E225" s="11"/>
    </row>
    <row r="226">
      <c r="A226" s="11"/>
      <c r="B226" s="11"/>
      <c r="C226" s="11"/>
      <c r="D226" s="11"/>
      <c r="E226" s="11"/>
    </row>
    <row r="227">
      <c r="A227" s="11"/>
      <c r="B227" s="11"/>
      <c r="C227" s="11"/>
      <c r="D227" s="11"/>
      <c r="E227" s="11"/>
    </row>
    <row r="228">
      <c r="A228" s="11"/>
      <c r="B228" s="11"/>
      <c r="C228" s="11"/>
      <c r="D228" s="11"/>
      <c r="E228" s="11"/>
    </row>
    <row r="229">
      <c r="A229" s="11"/>
      <c r="B229" s="11"/>
      <c r="C229" s="11"/>
      <c r="D229" s="11"/>
      <c r="E229" s="11"/>
    </row>
    <row r="230">
      <c r="A230" s="11"/>
      <c r="B230" s="11"/>
      <c r="C230" s="11"/>
      <c r="D230" s="11"/>
      <c r="E230" s="11"/>
    </row>
    <row r="231">
      <c r="A231" s="11"/>
      <c r="B231" s="11"/>
      <c r="C231" s="11"/>
      <c r="D231" s="11"/>
      <c r="E231" s="11"/>
    </row>
    <row r="232">
      <c r="A232" s="11"/>
      <c r="B232" s="11"/>
      <c r="C232" s="11"/>
      <c r="D232" s="11"/>
      <c r="E232" s="11"/>
    </row>
    <row r="233">
      <c r="A233" s="11"/>
      <c r="B233" s="11"/>
      <c r="C233" s="11"/>
      <c r="D233" s="11"/>
      <c r="E233" s="11"/>
    </row>
    <row r="234">
      <c r="A234" s="11"/>
      <c r="B234" s="11"/>
      <c r="C234" s="11"/>
      <c r="D234" s="11"/>
      <c r="E234" s="11"/>
    </row>
    <row r="235">
      <c r="A235" s="11"/>
      <c r="B235" s="11"/>
      <c r="C235" s="11"/>
      <c r="D235" s="11"/>
      <c r="E235" s="11"/>
    </row>
    <row r="236">
      <c r="A236" s="11"/>
      <c r="B236" s="11"/>
      <c r="C236" s="11"/>
      <c r="D236" s="11"/>
      <c r="E236" s="11"/>
    </row>
    <row r="237">
      <c r="A237" s="11"/>
      <c r="B237" s="11"/>
      <c r="C237" s="11"/>
      <c r="D237" s="11"/>
      <c r="E237" s="11"/>
    </row>
    <row r="238">
      <c r="A238" s="11"/>
      <c r="B238" s="11"/>
      <c r="C238" s="11"/>
      <c r="D238" s="11"/>
      <c r="E238" s="11"/>
    </row>
    <row r="239">
      <c r="A239" s="11"/>
      <c r="B239" s="11"/>
      <c r="C239" s="11"/>
      <c r="D239" s="11"/>
      <c r="E239" s="11"/>
    </row>
    <row r="240">
      <c r="A240" s="11"/>
      <c r="B240" s="11"/>
      <c r="C240" s="11"/>
      <c r="D240" s="11"/>
      <c r="E240" s="11"/>
    </row>
    <row r="241">
      <c r="A241" s="11"/>
      <c r="B241" s="11"/>
      <c r="C241" s="11"/>
      <c r="D241" s="11"/>
      <c r="E241" s="11"/>
    </row>
    <row r="242">
      <c r="A242" s="11"/>
      <c r="B242" s="11"/>
      <c r="C242" s="11"/>
      <c r="D242" s="11"/>
      <c r="E242" s="11"/>
    </row>
    <row r="243">
      <c r="A243" s="11"/>
      <c r="B243" s="11"/>
      <c r="C243" s="11"/>
      <c r="D243" s="11"/>
      <c r="E243" s="11"/>
    </row>
    <row r="244">
      <c r="A244" s="11"/>
      <c r="B244" s="11"/>
      <c r="C244" s="11"/>
      <c r="D244" s="11"/>
      <c r="E244" s="11"/>
    </row>
    <row r="245">
      <c r="A245" s="11"/>
      <c r="B245" s="11"/>
      <c r="C245" s="11"/>
      <c r="D245" s="11"/>
      <c r="E245" s="11"/>
    </row>
    <row r="246">
      <c r="A246" s="11"/>
      <c r="B246" s="11"/>
      <c r="C246" s="11"/>
      <c r="D246" s="11"/>
      <c r="E246" s="11"/>
    </row>
    <row r="247">
      <c r="A247" s="11"/>
      <c r="B247" s="11"/>
      <c r="C247" s="11"/>
      <c r="D247" s="11"/>
      <c r="E247" s="11"/>
    </row>
    <row r="248">
      <c r="A248" s="11"/>
      <c r="B248" s="11"/>
      <c r="C248" s="11"/>
      <c r="D248" s="11"/>
      <c r="E248" s="11"/>
    </row>
    <row r="249">
      <c r="A249" s="11"/>
      <c r="B249" s="11"/>
      <c r="C249" s="11"/>
      <c r="D249" s="11"/>
      <c r="E249" s="11"/>
    </row>
    <row r="250">
      <c r="A250" s="11"/>
      <c r="B250" s="11"/>
      <c r="C250" s="11"/>
      <c r="D250" s="11"/>
      <c r="E250" s="11"/>
    </row>
    <row r="251">
      <c r="A251" s="11"/>
      <c r="B251" s="11"/>
      <c r="C251" s="11"/>
      <c r="D251" s="11"/>
      <c r="E251" s="11"/>
    </row>
    <row r="252">
      <c r="A252" s="11"/>
      <c r="B252" s="11"/>
      <c r="C252" s="11"/>
      <c r="D252" s="11"/>
      <c r="E252" s="11"/>
    </row>
    <row r="253">
      <c r="A253" s="11"/>
      <c r="B253" s="11"/>
      <c r="C253" s="11"/>
      <c r="D253" s="11"/>
      <c r="E253" s="11"/>
    </row>
    <row r="254">
      <c r="A254" s="11"/>
      <c r="B254" s="11"/>
      <c r="C254" s="11"/>
      <c r="D254" s="11"/>
      <c r="E254" s="11"/>
    </row>
    <row r="255">
      <c r="A255" s="11"/>
      <c r="B255" s="11"/>
      <c r="C255" s="11"/>
      <c r="D255" s="11"/>
      <c r="E255" s="11"/>
    </row>
    <row r="256">
      <c r="A256" s="11"/>
      <c r="B256" s="11"/>
      <c r="C256" s="11"/>
      <c r="D256" s="11"/>
      <c r="E256" s="11"/>
    </row>
    <row r="257">
      <c r="A257" s="11"/>
      <c r="B257" s="11"/>
      <c r="C257" s="11"/>
      <c r="D257" s="11"/>
      <c r="E257" s="11"/>
    </row>
    <row r="258">
      <c r="A258" s="11"/>
      <c r="B258" s="11"/>
      <c r="C258" s="11"/>
      <c r="D258" s="11"/>
      <c r="E258" s="11"/>
    </row>
    <row r="259">
      <c r="A259" s="11"/>
      <c r="B259" s="11"/>
      <c r="C259" s="11"/>
      <c r="D259" s="11"/>
      <c r="E259" s="11"/>
    </row>
    <row r="260">
      <c r="A260" s="11"/>
      <c r="B260" s="11"/>
      <c r="C260" s="11"/>
      <c r="D260" s="11"/>
      <c r="E260" s="11"/>
    </row>
    <row r="261">
      <c r="A261" s="11"/>
      <c r="B261" s="11"/>
      <c r="C261" s="11"/>
      <c r="D261" s="11"/>
      <c r="E261" s="11"/>
    </row>
    <row r="262">
      <c r="A262" s="11"/>
      <c r="B262" s="11"/>
      <c r="C262" s="11"/>
      <c r="D262" s="11"/>
      <c r="E262" s="11"/>
    </row>
    <row r="263">
      <c r="A263" s="11"/>
      <c r="B263" s="11"/>
      <c r="C263" s="11"/>
      <c r="D263" s="11"/>
      <c r="E263" s="11"/>
    </row>
    <row r="264">
      <c r="A264" s="11"/>
      <c r="B264" s="11"/>
      <c r="C264" s="11"/>
      <c r="D264" s="11"/>
      <c r="E264" s="11"/>
    </row>
    <row r="265">
      <c r="A265" s="11"/>
      <c r="B265" s="11"/>
      <c r="C265" s="11"/>
      <c r="D265" s="11"/>
      <c r="E265" s="11"/>
    </row>
    <row r="266">
      <c r="A266" s="11"/>
      <c r="B266" s="11"/>
      <c r="C266" s="11"/>
      <c r="D266" s="11"/>
      <c r="E266" s="11"/>
    </row>
    <row r="267">
      <c r="A267" s="11"/>
      <c r="B267" s="11"/>
      <c r="C267" s="11"/>
      <c r="D267" s="11"/>
      <c r="E267" s="11"/>
    </row>
    <row r="268">
      <c r="A268" s="11"/>
      <c r="B268" s="11"/>
      <c r="C268" s="11"/>
      <c r="D268" s="11"/>
      <c r="E268" s="11"/>
    </row>
    <row r="269">
      <c r="A269" s="11"/>
      <c r="B269" s="11"/>
      <c r="C269" s="11"/>
      <c r="D269" s="11"/>
      <c r="E269" s="11"/>
    </row>
    <row r="270">
      <c r="A270" s="11"/>
      <c r="B270" s="11"/>
      <c r="C270" s="11"/>
      <c r="D270" s="11"/>
      <c r="E270" s="11"/>
    </row>
    <row r="271">
      <c r="A271" s="11"/>
      <c r="B271" s="11"/>
      <c r="C271" s="11"/>
      <c r="D271" s="11"/>
      <c r="E271" s="11"/>
    </row>
    <row r="272">
      <c r="A272" s="11"/>
      <c r="B272" s="11"/>
      <c r="C272" s="11"/>
      <c r="D272" s="11"/>
      <c r="E272" s="11"/>
    </row>
    <row r="273">
      <c r="A273" s="11"/>
      <c r="B273" s="11"/>
      <c r="C273" s="11"/>
      <c r="D273" s="11"/>
      <c r="E273" s="11"/>
    </row>
    <row r="274">
      <c r="A274" s="11"/>
      <c r="B274" s="11"/>
      <c r="C274" s="11"/>
      <c r="D274" s="11"/>
      <c r="E274" s="11"/>
    </row>
    <row r="275">
      <c r="A275" s="11"/>
      <c r="B275" s="11"/>
      <c r="C275" s="11"/>
      <c r="D275" s="11"/>
      <c r="E275" s="11"/>
    </row>
    <row r="276">
      <c r="A276" s="11"/>
      <c r="B276" s="11"/>
      <c r="C276" s="11"/>
      <c r="D276" s="11"/>
      <c r="E276" s="11"/>
    </row>
    <row r="277">
      <c r="A277" s="11"/>
      <c r="B277" s="11"/>
      <c r="C277" s="11"/>
      <c r="D277" s="11"/>
      <c r="E277" s="11"/>
    </row>
    <row r="278">
      <c r="A278" s="11"/>
      <c r="B278" s="11"/>
      <c r="C278" s="11"/>
      <c r="D278" s="11"/>
      <c r="E278" s="11"/>
    </row>
    <row r="279">
      <c r="A279" s="11"/>
      <c r="B279" s="11"/>
      <c r="C279" s="11"/>
      <c r="D279" s="11"/>
      <c r="E279" s="11"/>
    </row>
    <row r="280">
      <c r="A280" s="11"/>
      <c r="B280" s="11"/>
      <c r="C280" s="11"/>
      <c r="D280" s="11"/>
      <c r="E280" s="11"/>
    </row>
    <row r="281">
      <c r="A281" s="11"/>
      <c r="B281" s="11"/>
      <c r="C281" s="11"/>
      <c r="D281" s="11"/>
      <c r="E281" s="11"/>
    </row>
    <row r="282">
      <c r="A282" s="11"/>
      <c r="B282" s="11"/>
      <c r="C282" s="11"/>
      <c r="D282" s="11"/>
      <c r="E282" s="11"/>
    </row>
    <row r="283">
      <c r="A283" s="11"/>
      <c r="B283" s="11"/>
      <c r="C283" s="11"/>
      <c r="D283" s="11"/>
      <c r="E283" s="11"/>
    </row>
    <row r="284">
      <c r="A284" s="11"/>
      <c r="B284" s="11"/>
      <c r="C284" s="11"/>
      <c r="D284" s="11"/>
      <c r="E284" s="11"/>
    </row>
    <row r="285">
      <c r="A285" s="11"/>
      <c r="B285" s="11"/>
      <c r="C285" s="11"/>
      <c r="D285" s="11"/>
      <c r="E285" s="11"/>
    </row>
    <row r="286">
      <c r="A286" s="11"/>
      <c r="B286" s="11"/>
      <c r="C286" s="11"/>
      <c r="D286" s="11"/>
      <c r="E286" s="11"/>
    </row>
    <row r="287">
      <c r="A287" s="11"/>
      <c r="B287" s="11"/>
      <c r="C287" s="11"/>
      <c r="D287" s="11"/>
      <c r="E287" s="11"/>
    </row>
    <row r="288">
      <c r="A288" s="11"/>
      <c r="B288" s="11"/>
      <c r="C288" s="11"/>
      <c r="D288" s="11"/>
      <c r="E288" s="11"/>
    </row>
    <row r="289">
      <c r="A289" s="11"/>
      <c r="B289" s="11"/>
      <c r="C289" s="11"/>
      <c r="D289" s="11"/>
      <c r="E289" s="11"/>
    </row>
    <row r="290">
      <c r="A290" s="11"/>
      <c r="B290" s="11"/>
      <c r="C290" s="11"/>
      <c r="D290" s="11"/>
      <c r="E290" s="11"/>
    </row>
    <row r="291">
      <c r="A291" s="11"/>
      <c r="B291" s="11"/>
      <c r="C291" s="11"/>
      <c r="D291" s="11"/>
      <c r="E291" s="11"/>
    </row>
    <row r="292">
      <c r="A292" s="11"/>
      <c r="B292" s="11"/>
      <c r="C292" s="11"/>
      <c r="D292" s="11"/>
      <c r="E292" s="11"/>
    </row>
    <row r="293">
      <c r="A293" s="11"/>
      <c r="B293" s="11"/>
      <c r="C293" s="11"/>
      <c r="D293" s="11"/>
      <c r="E293" s="11"/>
    </row>
    <row r="294">
      <c r="A294" s="11"/>
      <c r="B294" s="11"/>
      <c r="C294" s="11"/>
      <c r="D294" s="11"/>
      <c r="E294" s="11"/>
    </row>
    <row r="295">
      <c r="A295" s="11"/>
      <c r="B295" s="11"/>
      <c r="C295" s="11"/>
      <c r="D295" s="11"/>
      <c r="E295" s="11"/>
    </row>
    <row r="296">
      <c r="A296" s="11"/>
      <c r="B296" s="11"/>
      <c r="C296" s="11"/>
      <c r="D296" s="11"/>
      <c r="E296" s="11"/>
    </row>
    <row r="297">
      <c r="A297" s="11"/>
      <c r="B297" s="11"/>
      <c r="C297" s="11"/>
      <c r="D297" s="11"/>
      <c r="E297" s="11"/>
    </row>
    <row r="298">
      <c r="A298" s="11"/>
      <c r="B298" s="11"/>
      <c r="C298" s="11"/>
      <c r="D298" s="11"/>
      <c r="E298" s="11"/>
    </row>
    <row r="299">
      <c r="A299" s="11"/>
      <c r="B299" s="11"/>
      <c r="C299" s="11"/>
      <c r="D299" s="11"/>
      <c r="E299" s="11"/>
    </row>
    <row r="300">
      <c r="A300" s="11"/>
      <c r="B300" s="11"/>
      <c r="C300" s="11"/>
      <c r="D300" s="11"/>
      <c r="E300" s="11"/>
    </row>
    <row r="301">
      <c r="A301" s="11"/>
      <c r="B301" s="11"/>
      <c r="C301" s="11"/>
      <c r="D301" s="11"/>
      <c r="E301" s="11"/>
    </row>
    <row r="302">
      <c r="A302" s="11"/>
      <c r="B302" s="11"/>
      <c r="C302" s="11"/>
      <c r="D302" s="11"/>
      <c r="E302" s="11"/>
    </row>
    <row r="303">
      <c r="A303" s="11"/>
      <c r="B303" s="11"/>
      <c r="C303" s="11"/>
      <c r="D303" s="11"/>
      <c r="E303" s="11"/>
    </row>
    <row r="304">
      <c r="A304" s="11"/>
      <c r="B304" s="11"/>
      <c r="C304" s="11"/>
      <c r="D304" s="11"/>
      <c r="E304" s="11"/>
    </row>
    <row r="305">
      <c r="A305" s="11"/>
      <c r="B305" s="11"/>
      <c r="C305" s="11"/>
      <c r="D305" s="11"/>
      <c r="E305" s="11"/>
    </row>
    <row r="306">
      <c r="A306" s="11"/>
      <c r="B306" s="11"/>
      <c r="C306" s="11"/>
      <c r="D306" s="11"/>
      <c r="E306" s="11"/>
    </row>
    <row r="307">
      <c r="A307" s="11"/>
      <c r="B307" s="11"/>
      <c r="C307" s="11"/>
      <c r="D307" s="11"/>
      <c r="E307" s="11"/>
    </row>
    <row r="308">
      <c r="A308" s="11"/>
      <c r="B308" s="11"/>
      <c r="C308" s="11"/>
      <c r="D308" s="11"/>
      <c r="E308" s="11"/>
    </row>
    <row r="309">
      <c r="A309" s="11"/>
      <c r="B309" s="11"/>
      <c r="C309" s="11"/>
      <c r="D309" s="11"/>
      <c r="E309" s="11"/>
    </row>
    <row r="310">
      <c r="A310" s="11"/>
      <c r="B310" s="11"/>
      <c r="C310" s="11"/>
      <c r="D310" s="11"/>
      <c r="E310" s="11"/>
    </row>
    <row r="311">
      <c r="A311" s="11"/>
      <c r="B311" s="11"/>
      <c r="C311" s="11"/>
      <c r="D311" s="11"/>
      <c r="E311" s="11"/>
    </row>
    <row r="312">
      <c r="A312" s="11"/>
      <c r="B312" s="11"/>
      <c r="C312" s="11"/>
      <c r="D312" s="11"/>
      <c r="E312" s="11"/>
    </row>
    <row r="313">
      <c r="A313" s="11"/>
      <c r="B313" s="11"/>
      <c r="C313" s="11"/>
      <c r="D313" s="11"/>
      <c r="E313" s="11"/>
    </row>
    <row r="314">
      <c r="A314" s="11"/>
      <c r="B314" s="11"/>
      <c r="C314" s="11"/>
      <c r="D314" s="11"/>
      <c r="E314" s="11"/>
    </row>
    <row r="315">
      <c r="A315" s="11"/>
      <c r="B315" s="11"/>
      <c r="C315" s="11"/>
      <c r="D315" s="11"/>
      <c r="E315" s="11"/>
    </row>
    <row r="316">
      <c r="A316" s="11"/>
      <c r="B316" s="11"/>
      <c r="C316" s="11"/>
      <c r="D316" s="11"/>
      <c r="E316" s="11"/>
    </row>
    <row r="317">
      <c r="A317" s="11"/>
      <c r="B317" s="11"/>
      <c r="C317" s="11"/>
      <c r="D317" s="11"/>
      <c r="E317" s="11"/>
    </row>
    <row r="318">
      <c r="A318" s="11"/>
      <c r="B318" s="11"/>
      <c r="C318" s="11"/>
      <c r="D318" s="11"/>
      <c r="E318" s="11"/>
    </row>
    <row r="319">
      <c r="A319" s="11"/>
      <c r="B319" s="11"/>
      <c r="C319" s="11"/>
      <c r="D319" s="11"/>
      <c r="E319" s="11"/>
    </row>
    <row r="320">
      <c r="A320" s="11"/>
      <c r="B320" s="11"/>
      <c r="C320" s="11"/>
      <c r="D320" s="11"/>
      <c r="E320" s="11"/>
    </row>
    <row r="321">
      <c r="A321" s="11"/>
      <c r="B321" s="11"/>
      <c r="C321" s="11"/>
      <c r="D321" s="11"/>
      <c r="E321" s="11"/>
    </row>
    <row r="322">
      <c r="A322" s="11"/>
      <c r="B322" s="11"/>
      <c r="C322" s="11"/>
      <c r="D322" s="11"/>
      <c r="E322" s="11"/>
    </row>
    <row r="323">
      <c r="A323" s="11"/>
      <c r="B323" s="11"/>
      <c r="C323" s="11"/>
      <c r="D323" s="11"/>
      <c r="E323" s="11"/>
    </row>
    <row r="324">
      <c r="A324" s="11"/>
      <c r="B324" s="11"/>
      <c r="C324" s="11"/>
      <c r="D324" s="11"/>
      <c r="E324" s="11"/>
    </row>
    <row r="325">
      <c r="A325" s="11"/>
      <c r="B325" s="11"/>
      <c r="C325" s="11"/>
      <c r="D325" s="11"/>
      <c r="E325" s="11"/>
    </row>
    <row r="326">
      <c r="A326" s="11"/>
      <c r="B326" s="11"/>
      <c r="C326" s="11"/>
      <c r="D326" s="11"/>
      <c r="E326" s="11"/>
    </row>
    <row r="327">
      <c r="A327" s="11"/>
      <c r="B327" s="11"/>
      <c r="C327" s="11"/>
      <c r="D327" s="11"/>
      <c r="E327" s="11"/>
    </row>
    <row r="328">
      <c r="A328" s="11"/>
      <c r="B328" s="11"/>
      <c r="C328" s="11"/>
      <c r="D328" s="11"/>
      <c r="E328" s="11"/>
    </row>
    <row r="329">
      <c r="A329" s="11"/>
      <c r="B329" s="11"/>
      <c r="C329" s="11"/>
      <c r="D329" s="11"/>
      <c r="E329" s="11"/>
    </row>
    <row r="330">
      <c r="A330" s="11"/>
      <c r="B330" s="11"/>
      <c r="C330" s="11"/>
      <c r="D330" s="11"/>
      <c r="E330" s="11"/>
    </row>
    <row r="331">
      <c r="A331" s="11"/>
      <c r="B331" s="11"/>
      <c r="C331" s="11"/>
      <c r="D331" s="11"/>
      <c r="E331" s="11"/>
    </row>
    <row r="332">
      <c r="A332" s="11"/>
      <c r="B332" s="11"/>
      <c r="C332" s="11"/>
      <c r="D332" s="11"/>
      <c r="E332" s="11"/>
    </row>
    <row r="333">
      <c r="A333" s="11"/>
      <c r="B333" s="11"/>
      <c r="C333" s="11"/>
      <c r="D333" s="11"/>
      <c r="E333" s="11"/>
    </row>
    <row r="334">
      <c r="A334" s="11"/>
      <c r="B334" s="11"/>
      <c r="C334" s="11"/>
      <c r="D334" s="11"/>
      <c r="E334" s="11"/>
    </row>
    <row r="335">
      <c r="A335" s="11"/>
      <c r="B335" s="11"/>
      <c r="C335" s="11"/>
      <c r="D335" s="11"/>
      <c r="E335" s="11"/>
    </row>
    <row r="336">
      <c r="A336" s="11"/>
      <c r="B336" s="11"/>
      <c r="C336" s="11"/>
      <c r="D336" s="11"/>
      <c r="E336" s="11"/>
    </row>
    <row r="337">
      <c r="A337" s="11"/>
      <c r="B337" s="11"/>
      <c r="C337" s="11"/>
      <c r="D337" s="11"/>
      <c r="E337" s="11"/>
    </row>
    <row r="338">
      <c r="A338" s="11"/>
      <c r="B338" s="11"/>
      <c r="C338" s="11"/>
      <c r="D338" s="11"/>
      <c r="E338" s="11"/>
    </row>
    <row r="339">
      <c r="A339" s="11"/>
      <c r="B339" s="11"/>
      <c r="C339" s="11"/>
      <c r="D339" s="11"/>
      <c r="E339" s="11"/>
    </row>
    <row r="340">
      <c r="A340" s="11"/>
      <c r="B340" s="11"/>
      <c r="C340" s="11"/>
      <c r="D340" s="11"/>
      <c r="E340" s="11"/>
    </row>
    <row r="341">
      <c r="A341" s="11"/>
      <c r="B341" s="11"/>
      <c r="C341" s="11"/>
      <c r="D341" s="11"/>
      <c r="E341" s="11"/>
    </row>
    <row r="342">
      <c r="A342" s="11"/>
      <c r="B342" s="11"/>
      <c r="C342" s="11"/>
      <c r="D342" s="11"/>
      <c r="E342" s="11"/>
    </row>
    <row r="343">
      <c r="A343" s="11"/>
      <c r="B343" s="11"/>
      <c r="C343" s="11"/>
      <c r="D343" s="11"/>
      <c r="E343" s="11"/>
    </row>
    <row r="344">
      <c r="A344" s="11"/>
      <c r="B344" s="11"/>
      <c r="C344" s="11"/>
      <c r="D344" s="11"/>
      <c r="E344" s="11"/>
    </row>
    <row r="345">
      <c r="A345" s="11"/>
      <c r="B345" s="11"/>
      <c r="C345" s="11"/>
      <c r="D345" s="11"/>
      <c r="E345" s="11"/>
    </row>
    <row r="346">
      <c r="A346" s="11"/>
      <c r="B346" s="11"/>
      <c r="C346" s="11"/>
      <c r="D346" s="11"/>
      <c r="E346" s="11"/>
    </row>
    <row r="347">
      <c r="A347" s="11"/>
      <c r="B347" s="11"/>
      <c r="C347" s="11"/>
      <c r="D347" s="11"/>
      <c r="E347" s="11"/>
    </row>
    <row r="348">
      <c r="A348" s="11"/>
      <c r="B348" s="11"/>
      <c r="C348" s="11"/>
      <c r="D348" s="11"/>
      <c r="E348" s="11"/>
    </row>
    <row r="349">
      <c r="A349" s="11"/>
      <c r="B349" s="11"/>
      <c r="C349" s="11"/>
      <c r="D349" s="11"/>
      <c r="E349" s="11"/>
    </row>
    <row r="350">
      <c r="A350" s="11"/>
      <c r="B350" s="11"/>
      <c r="C350" s="11"/>
      <c r="D350" s="11"/>
      <c r="E350" s="11"/>
    </row>
    <row r="351">
      <c r="A351" s="11"/>
      <c r="B351" s="11"/>
      <c r="C351" s="11"/>
      <c r="D351" s="11"/>
      <c r="E351" s="11"/>
    </row>
    <row r="352">
      <c r="A352" s="11"/>
      <c r="B352" s="11"/>
      <c r="C352" s="11"/>
      <c r="D352" s="11"/>
      <c r="E352" s="11"/>
    </row>
    <row r="353">
      <c r="A353" s="11"/>
      <c r="B353" s="11"/>
      <c r="C353" s="11"/>
      <c r="D353" s="11"/>
      <c r="E353" s="11"/>
    </row>
    <row r="354">
      <c r="A354" s="11"/>
      <c r="B354" s="11"/>
      <c r="C354" s="11"/>
      <c r="D354" s="11"/>
      <c r="E354" s="11"/>
    </row>
    <row r="355">
      <c r="A355" s="11"/>
      <c r="B355" s="11"/>
      <c r="C355" s="11"/>
      <c r="D355" s="11"/>
      <c r="E355" s="11"/>
    </row>
    <row r="356">
      <c r="A356" s="11"/>
      <c r="B356" s="11"/>
      <c r="C356" s="11"/>
      <c r="D356" s="11"/>
      <c r="E356" s="11"/>
    </row>
    <row r="357">
      <c r="A357" s="11"/>
      <c r="B357" s="11"/>
      <c r="C357" s="11"/>
      <c r="D357" s="11"/>
      <c r="E357" s="11"/>
    </row>
    <row r="358">
      <c r="A358" s="11"/>
      <c r="B358" s="11"/>
      <c r="C358" s="11"/>
      <c r="D358" s="11"/>
      <c r="E358" s="11"/>
    </row>
    <row r="359">
      <c r="A359" s="11"/>
      <c r="B359" s="11"/>
      <c r="C359" s="11"/>
      <c r="D359" s="11"/>
      <c r="E359" s="11"/>
    </row>
    <row r="360">
      <c r="A360" s="11"/>
      <c r="B360" s="11"/>
      <c r="C360" s="11"/>
      <c r="D360" s="11"/>
      <c r="E360" s="11"/>
    </row>
    <row r="361">
      <c r="A361" s="11"/>
      <c r="B361" s="11"/>
      <c r="C361" s="11"/>
      <c r="D361" s="11"/>
      <c r="E361" s="11"/>
    </row>
    <row r="362">
      <c r="A362" s="11"/>
      <c r="B362" s="11"/>
      <c r="C362" s="11"/>
      <c r="D362" s="11"/>
      <c r="E362" s="11"/>
    </row>
    <row r="363">
      <c r="A363" s="11"/>
      <c r="B363" s="11"/>
      <c r="C363" s="11"/>
      <c r="D363" s="11"/>
      <c r="E363" s="11"/>
    </row>
    <row r="364">
      <c r="A364" s="11"/>
      <c r="B364" s="11"/>
      <c r="C364" s="11"/>
      <c r="D364" s="11"/>
      <c r="E364" s="11"/>
    </row>
    <row r="365">
      <c r="A365" s="11"/>
      <c r="B365" s="11"/>
      <c r="C365" s="11"/>
      <c r="D365" s="11"/>
      <c r="E365" s="11"/>
    </row>
    <row r="366">
      <c r="A366" s="11"/>
      <c r="B366" s="11"/>
      <c r="C366" s="11"/>
      <c r="D366" s="11"/>
      <c r="E366" s="11"/>
    </row>
    <row r="367">
      <c r="A367" s="11"/>
      <c r="B367" s="11"/>
      <c r="C367" s="11"/>
      <c r="D367" s="11"/>
      <c r="E367" s="11"/>
    </row>
    <row r="368">
      <c r="A368" s="11"/>
      <c r="B368" s="11"/>
      <c r="C368" s="11"/>
      <c r="D368" s="11"/>
      <c r="E368" s="11"/>
    </row>
    <row r="369">
      <c r="A369" s="11"/>
      <c r="B369" s="11"/>
      <c r="C369" s="11"/>
      <c r="D369" s="11"/>
      <c r="E369" s="11"/>
    </row>
    <row r="370">
      <c r="A370" s="11"/>
      <c r="B370" s="11"/>
      <c r="C370" s="11"/>
      <c r="D370" s="11"/>
      <c r="E370" s="11"/>
    </row>
    <row r="371">
      <c r="A371" s="11"/>
      <c r="B371" s="11"/>
      <c r="C371" s="11"/>
      <c r="D371" s="11"/>
      <c r="E371" s="11"/>
    </row>
    <row r="372">
      <c r="A372" s="11"/>
      <c r="B372" s="11"/>
      <c r="C372" s="11"/>
      <c r="D372" s="11"/>
      <c r="E372" s="11"/>
    </row>
    <row r="373">
      <c r="A373" s="11"/>
      <c r="B373" s="11"/>
      <c r="C373" s="11"/>
      <c r="D373" s="11"/>
      <c r="E373" s="11"/>
    </row>
    <row r="374">
      <c r="A374" s="11"/>
      <c r="B374" s="11"/>
      <c r="C374" s="11"/>
      <c r="D374" s="11"/>
      <c r="E374" s="11"/>
    </row>
    <row r="375">
      <c r="A375" s="11"/>
      <c r="B375" s="11"/>
      <c r="C375" s="11"/>
      <c r="D375" s="11"/>
      <c r="E375" s="11"/>
    </row>
    <row r="376">
      <c r="A376" s="11"/>
      <c r="B376" s="11"/>
      <c r="C376" s="11"/>
      <c r="D376" s="11"/>
      <c r="E376" s="11"/>
    </row>
    <row r="377">
      <c r="A377" s="11"/>
      <c r="B377" s="11"/>
      <c r="C377" s="11"/>
      <c r="D377" s="11"/>
      <c r="E377" s="11"/>
    </row>
    <row r="378">
      <c r="A378" s="11"/>
      <c r="B378" s="11"/>
      <c r="C378" s="11"/>
      <c r="D378" s="11"/>
      <c r="E378" s="11"/>
    </row>
    <row r="379">
      <c r="A379" s="11"/>
      <c r="B379" s="11"/>
      <c r="C379" s="11"/>
      <c r="D379" s="11"/>
      <c r="E379" s="11"/>
    </row>
    <row r="380">
      <c r="A380" s="11"/>
      <c r="B380" s="11"/>
      <c r="C380" s="11"/>
      <c r="D380" s="11"/>
      <c r="E380" s="11"/>
    </row>
    <row r="381">
      <c r="A381" s="11"/>
      <c r="B381" s="11"/>
      <c r="C381" s="11"/>
      <c r="D381" s="11"/>
      <c r="E381" s="11"/>
    </row>
    <row r="382">
      <c r="A382" s="11"/>
      <c r="B382" s="11"/>
      <c r="C382" s="11"/>
      <c r="D382" s="11"/>
      <c r="E382" s="11"/>
    </row>
    <row r="383">
      <c r="A383" s="11"/>
      <c r="B383" s="11"/>
      <c r="C383" s="11"/>
      <c r="D383" s="11"/>
      <c r="E383" s="11"/>
    </row>
    <row r="384">
      <c r="A384" s="11"/>
      <c r="B384" s="11"/>
      <c r="C384" s="11"/>
      <c r="D384" s="11"/>
      <c r="E384" s="11"/>
    </row>
    <row r="385">
      <c r="A385" s="11"/>
      <c r="B385" s="11"/>
      <c r="C385" s="11"/>
      <c r="D385" s="11"/>
      <c r="E385" s="11"/>
    </row>
    <row r="386">
      <c r="A386" s="11"/>
      <c r="B386" s="11"/>
      <c r="C386" s="11"/>
      <c r="D386" s="11"/>
      <c r="E386" s="11"/>
    </row>
    <row r="387">
      <c r="A387" s="11"/>
      <c r="B387" s="11"/>
      <c r="C387" s="11"/>
      <c r="D387" s="11"/>
      <c r="E387" s="11"/>
    </row>
    <row r="388">
      <c r="A388" s="11"/>
      <c r="B388" s="11"/>
      <c r="C388" s="11"/>
      <c r="D388" s="11"/>
      <c r="E388" s="11"/>
    </row>
    <row r="389">
      <c r="A389" s="11"/>
      <c r="B389" s="11"/>
      <c r="C389" s="11"/>
      <c r="D389" s="11"/>
      <c r="E389" s="11"/>
    </row>
    <row r="390">
      <c r="A390" s="11"/>
      <c r="B390" s="11"/>
      <c r="C390" s="11"/>
      <c r="D390" s="11"/>
      <c r="E390" s="11"/>
    </row>
    <row r="391">
      <c r="A391" s="11"/>
      <c r="B391" s="11"/>
      <c r="C391" s="11"/>
      <c r="D391" s="11"/>
      <c r="E391" s="11"/>
    </row>
    <row r="392">
      <c r="A392" s="11"/>
      <c r="B392" s="11"/>
      <c r="C392" s="11"/>
      <c r="D392" s="11"/>
      <c r="E392" s="11"/>
    </row>
    <row r="393">
      <c r="A393" s="11"/>
      <c r="B393" s="11"/>
      <c r="C393" s="11"/>
      <c r="D393" s="11"/>
      <c r="E393" s="11"/>
    </row>
    <row r="394">
      <c r="A394" s="11"/>
      <c r="B394" s="11"/>
      <c r="C394" s="11"/>
      <c r="D394" s="11"/>
      <c r="E394" s="11"/>
    </row>
    <row r="395">
      <c r="A395" s="11"/>
      <c r="B395" s="11"/>
      <c r="C395" s="11"/>
      <c r="D395" s="11"/>
      <c r="E395" s="11"/>
    </row>
    <row r="396">
      <c r="A396" s="11"/>
      <c r="B396" s="11"/>
      <c r="C396" s="11"/>
      <c r="D396" s="11"/>
      <c r="E396" s="11"/>
    </row>
    <row r="397">
      <c r="A397" s="11"/>
      <c r="B397" s="11"/>
      <c r="C397" s="11"/>
      <c r="D397" s="11"/>
      <c r="E397" s="11"/>
    </row>
    <row r="398">
      <c r="A398" s="11"/>
      <c r="B398" s="11"/>
      <c r="C398" s="11"/>
      <c r="D398" s="11"/>
      <c r="E398" s="11"/>
    </row>
    <row r="399">
      <c r="A399" s="11"/>
      <c r="B399" s="11"/>
      <c r="C399" s="11"/>
      <c r="D399" s="11"/>
      <c r="E399" s="11"/>
    </row>
    <row r="400">
      <c r="A400" s="11"/>
      <c r="B400" s="11"/>
      <c r="C400" s="11"/>
      <c r="D400" s="11"/>
      <c r="E400" s="11"/>
    </row>
    <row r="401">
      <c r="A401" s="11"/>
      <c r="B401" s="11"/>
      <c r="C401" s="11"/>
      <c r="D401" s="11"/>
      <c r="E401" s="11"/>
    </row>
    <row r="402">
      <c r="A402" s="11"/>
      <c r="B402" s="11"/>
      <c r="C402" s="11"/>
      <c r="D402" s="11"/>
      <c r="E402" s="11"/>
    </row>
    <row r="403">
      <c r="A403" s="11"/>
      <c r="B403" s="11"/>
      <c r="C403" s="11"/>
      <c r="D403" s="11"/>
      <c r="E403" s="11"/>
    </row>
    <row r="404">
      <c r="A404" s="11"/>
      <c r="B404" s="11"/>
      <c r="C404" s="11"/>
      <c r="D404" s="11"/>
      <c r="E404" s="11"/>
    </row>
    <row r="405">
      <c r="A405" s="11"/>
      <c r="B405" s="11"/>
      <c r="C405" s="11"/>
      <c r="D405" s="11"/>
      <c r="E405" s="11"/>
    </row>
    <row r="406">
      <c r="A406" s="11"/>
      <c r="B406" s="11"/>
      <c r="C406" s="11"/>
      <c r="D406" s="11"/>
      <c r="E406" s="11"/>
    </row>
    <row r="407">
      <c r="A407" s="11"/>
      <c r="B407" s="11"/>
      <c r="C407" s="11"/>
      <c r="D407" s="11"/>
      <c r="E407" s="11"/>
    </row>
    <row r="408">
      <c r="A408" s="11"/>
      <c r="B408" s="11"/>
      <c r="C408" s="11"/>
      <c r="D408" s="11"/>
      <c r="E408" s="11"/>
    </row>
    <row r="409">
      <c r="A409" s="11"/>
      <c r="B409" s="11"/>
      <c r="C409" s="11"/>
      <c r="D409" s="11"/>
      <c r="E409" s="11"/>
    </row>
    <row r="410">
      <c r="A410" s="11"/>
      <c r="B410" s="11"/>
      <c r="C410" s="11"/>
      <c r="D410" s="11"/>
      <c r="E410" s="11"/>
    </row>
    <row r="411">
      <c r="A411" s="11"/>
      <c r="B411" s="11"/>
      <c r="C411" s="11"/>
      <c r="D411" s="11"/>
      <c r="E411" s="11"/>
    </row>
    <row r="412">
      <c r="A412" s="11"/>
      <c r="B412" s="11"/>
      <c r="C412" s="11"/>
      <c r="D412" s="11"/>
      <c r="E412" s="11"/>
    </row>
    <row r="413">
      <c r="A413" s="11"/>
      <c r="B413" s="11"/>
      <c r="C413" s="11"/>
      <c r="D413" s="11"/>
      <c r="E413" s="11"/>
    </row>
    <row r="414">
      <c r="A414" s="11"/>
      <c r="B414" s="11"/>
      <c r="C414" s="11"/>
      <c r="D414" s="11"/>
      <c r="E414" s="11"/>
    </row>
    <row r="415">
      <c r="A415" s="11"/>
      <c r="B415" s="11"/>
      <c r="C415" s="11"/>
      <c r="D415" s="11"/>
      <c r="E415" s="11"/>
    </row>
    <row r="416">
      <c r="A416" s="11"/>
      <c r="B416" s="11"/>
      <c r="C416" s="11"/>
      <c r="D416" s="11"/>
      <c r="E416" s="11"/>
    </row>
    <row r="417">
      <c r="A417" s="11"/>
      <c r="B417" s="11"/>
      <c r="C417" s="11"/>
      <c r="D417" s="11"/>
      <c r="E417" s="11"/>
    </row>
    <row r="418">
      <c r="A418" s="11"/>
      <c r="B418" s="11"/>
      <c r="C418" s="11"/>
      <c r="D418" s="11"/>
      <c r="E418" s="11"/>
    </row>
    <row r="419">
      <c r="A419" s="11"/>
      <c r="B419" s="11"/>
      <c r="C419" s="11"/>
      <c r="D419" s="11"/>
      <c r="E419" s="11"/>
    </row>
    <row r="420">
      <c r="A420" s="11"/>
      <c r="B420" s="11"/>
      <c r="C420" s="11"/>
      <c r="D420" s="11"/>
      <c r="E420" s="11"/>
    </row>
    <row r="421">
      <c r="A421" s="11"/>
      <c r="B421" s="11"/>
      <c r="C421" s="11"/>
      <c r="D421" s="11"/>
      <c r="E421" s="11"/>
    </row>
    <row r="422">
      <c r="A422" s="11"/>
      <c r="B422" s="11"/>
      <c r="C422" s="11"/>
      <c r="D422" s="11"/>
      <c r="E422" s="11"/>
    </row>
    <row r="423">
      <c r="A423" s="11"/>
      <c r="B423" s="11"/>
      <c r="C423" s="11"/>
      <c r="D423" s="11"/>
      <c r="E423" s="11"/>
    </row>
    <row r="424">
      <c r="A424" s="11"/>
      <c r="B424" s="11"/>
      <c r="C424" s="11"/>
      <c r="D424" s="11"/>
      <c r="E424" s="11"/>
    </row>
    <row r="425">
      <c r="A425" s="11"/>
      <c r="B425" s="11"/>
      <c r="C425" s="11"/>
      <c r="D425" s="11"/>
      <c r="E425" s="11"/>
    </row>
    <row r="426">
      <c r="A426" s="11"/>
      <c r="B426" s="11"/>
      <c r="C426" s="11"/>
      <c r="D426" s="11"/>
      <c r="E426" s="11"/>
    </row>
    <row r="427">
      <c r="A427" s="11"/>
      <c r="B427" s="11"/>
      <c r="C427" s="11"/>
      <c r="D427" s="11"/>
      <c r="E427" s="11"/>
    </row>
    <row r="428">
      <c r="A428" s="11"/>
      <c r="B428" s="11"/>
      <c r="C428" s="11"/>
      <c r="D428" s="11"/>
      <c r="E428" s="11"/>
    </row>
    <row r="429">
      <c r="A429" s="11"/>
      <c r="B429" s="11"/>
      <c r="C429" s="11"/>
      <c r="D429" s="11"/>
      <c r="E429" s="11"/>
    </row>
    <row r="430">
      <c r="A430" s="11"/>
      <c r="B430" s="11"/>
      <c r="C430" s="11"/>
      <c r="D430" s="11"/>
      <c r="E430" s="11"/>
    </row>
    <row r="431">
      <c r="A431" s="11"/>
      <c r="B431" s="11"/>
      <c r="C431" s="11"/>
      <c r="D431" s="11"/>
      <c r="E431" s="11"/>
    </row>
    <row r="432">
      <c r="A432" s="11"/>
      <c r="B432" s="11"/>
      <c r="C432" s="11"/>
      <c r="D432" s="11"/>
      <c r="E432" s="11"/>
    </row>
    <row r="433">
      <c r="A433" s="11"/>
      <c r="B433" s="11"/>
      <c r="C433" s="11"/>
      <c r="D433" s="11"/>
      <c r="E433" s="11"/>
    </row>
    <row r="434">
      <c r="A434" s="11"/>
      <c r="B434" s="11"/>
      <c r="C434" s="11"/>
      <c r="D434" s="11"/>
      <c r="E434" s="11"/>
    </row>
    <row r="435">
      <c r="A435" s="11"/>
      <c r="B435" s="11"/>
      <c r="C435" s="11"/>
      <c r="D435" s="11"/>
      <c r="E435" s="11"/>
    </row>
    <row r="436">
      <c r="A436" s="11"/>
      <c r="B436" s="11"/>
      <c r="C436" s="11"/>
      <c r="D436" s="11"/>
      <c r="E436" s="11"/>
    </row>
    <row r="437">
      <c r="A437" s="11"/>
      <c r="B437" s="11"/>
      <c r="C437" s="11"/>
      <c r="D437" s="11"/>
      <c r="E437" s="11"/>
    </row>
    <row r="438">
      <c r="A438" s="11"/>
      <c r="B438" s="11"/>
      <c r="C438" s="11"/>
      <c r="D438" s="11"/>
      <c r="E438" s="11"/>
    </row>
    <row r="439">
      <c r="A439" s="11"/>
      <c r="B439" s="11"/>
      <c r="C439" s="11"/>
      <c r="D439" s="11"/>
      <c r="E439" s="11"/>
    </row>
    <row r="440">
      <c r="A440" s="11"/>
      <c r="B440" s="11"/>
      <c r="C440" s="11"/>
      <c r="D440" s="11"/>
      <c r="E440" s="11"/>
    </row>
    <row r="441">
      <c r="A441" s="11"/>
      <c r="B441" s="11"/>
      <c r="C441" s="11"/>
      <c r="D441" s="11"/>
      <c r="E441" s="11"/>
    </row>
    <row r="442">
      <c r="A442" s="11"/>
      <c r="B442" s="11"/>
      <c r="C442" s="11"/>
      <c r="D442" s="11"/>
      <c r="E442" s="11"/>
    </row>
    <row r="443">
      <c r="A443" s="11"/>
      <c r="B443" s="11"/>
      <c r="C443" s="11"/>
      <c r="D443" s="11"/>
      <c r="E443" s="11"/>
    </row>
    <row r="444">
      <c r="A444" s="11"/>
      <c r="B444" s="11"/>
      <c r="C444" s="11"/>
      <c r="D444" s="11"/>
      <c r="E444" s="11"/>
    </row>
    <row r="445">
      <c r="A445" s="11"/>
      <c r="B445" s="11"/>
      <c r="C445" s="11"/>
      <c r="D445" s="11"/>
      <c r="E445" s="11"/>
    </row>
    <row r="446">
      <c r="A446" s="11"/>
      <c r="B446" s="11"/>
      <c r="C446" s="11"/>
      <c r="D446" s="11"/>
      <c r="E446" s="11"/>
    </row>
    <row r="447">
      <c r="A447" s="11"/>
      <c r="B447" s="11"/>
      <c r="C447" s="11"/>
      <c r="D447" s="11"/>
      <c r="E447" s="11"/>
    </row>
    <row r="448">
      <c r="A448" s="11"/>
      <c r="B448" s="11"/>
      <c r="C448" s="11"/>
      <c r="D448" s="11"/>
      <c r="E448" s="11"/>
    </row>
    <row r="449">
      <c r="A449" s="11"/>
      <c r="B449" s="11"/>
      <c r="C449" s="11"/>
      <c r="D449" s="11"/>
      <c r="E449" s="11"/>
    </row>
    <row r="450">
      <c r="A450" s="11"/>
      <c r="B450" s="11"/>
      <c r="C450" s="11"/>
      <c r="D450" s="11"/>
      <c r="E450" s="11"/>
    </row>
    <row r="451">
      <c r="A451" s="11"/>
      <c r="B451" s="11"/>
      <c r="C451" s="11"/>
      <c r="D451" s="11"/>
      <c r="E451" s="11"/>
    </row>
    <row r="452">
      <c r="A452" s="11"/>
      <c r="B452" s="11"/>
      <c r="C452" s="11"/>
      <c r="D452" s="11"/>
      <c r="E452" s="11"/>
    </row>
    <row r="453">
      <c r="A453" s="11"/>
      <c r="B453" s="11"/>
      <c r="C453" s="11"/>
      <c r="D453" s="11"/>
      <c r="E453" s="11"/>
    </row>
    <row r="454">
      <c r="A454" s="11"/>
      <c r="B454" s="11"/>
      <c r="C454" s="11"/>
      <c r="D454" s="11"/>
      <c r="E454" s="11"/>
    </row>
    <row r="455">
      <c r="A455" s="11"/>
      <c r="B455" s="11"/>
      <c r="C455" s="11"/>
      <c r="D455" s="11"/>
      <c r="E455" s="11"/>
    </row>
    <row r="456">
      <c r="A456" s="11"/>
      <c r="B456" s="11"/>
      <c r="C456" s="11"/>
      <c r="D456" s="11"/>
      <c r="E456" s="11"/>
    </row>
    <row r="457">
      <c r="A457" s="11"/>
      <c r="B457" s="11"/>
      <c r="C457" s="11"/>
      <c r="D457" s="11"/>
      <c r="E457" s="11"/>
    </row>
    <row r="458">
      <c r="A458" s="11"/>
      <c r="B458" s="11"/>
      <c r="C458" s="11"/>
      <c r="D458" s="11"/>
      <c r="E458" s="11"/>
    </row>
    <row r="459">
      <c r="A459" s="11"/>
      <c r="B459" s="11"/>
      <c r="C459" s="11"/>
      <c r="D459" s="11"/>
      <c r="E459" s="11"/>
    </row>
    <row r="460">
      <c r="A460" s="11"/>
      <c r="B460" s="11"/>
      <c r="C460" s="11"/>
      <c r="D460" s="11"/>
      <c r="E460" s="11"/>
    </row>
    <row r="461">
      <c r="A461" s="11"/>
      <c r="B461" s="11"/>
      <c r="C461" s="11"/>
      <c r="D461" s="11"/>
      <c r="E461" s="11"/>
    </row>
    <row r="462">
      <c r="A462" s="11"/>
      <c r="B462" s="11"/>
      <c r="C462" s="11"/>
      <c r="D462" s="11"/>
      <c r="E462" s="11"/>
    </row>
    <row r="463">
      <c r="A463" s="11"/>
      <c r="B463" s="11"/>
      <c r="C463" s="11"/>
      <c r="D463" s="11"/>
      <c r="E463" s="11"/>
    </row>
    <row r="464">
      <c r="A464" s="11"/>
      <c r="B464" s="11"/>
      <c r="C464" s="11"/>
      <c r="D464" s="11"/>
      <c r="E464" s="11"/>
    </row>
    <row r="465">
      <c r="A465" s="11"/>
      <c r="B465" s="11"/>
      <c r="C465" s="11"/>
      <c r="D465" s="11"/>
      <c r="E465" s="11"/>
    </row>
    <row r="466">
      <c r="A466" s="11"/>
      <c r="B466" s="11"/>
      <c r="C466" s="11"/>
      <c r="D466" s="11"/>
      <c r="E466" s="11"/>
    </row>
    <row r="467">
      <c r="A467" s="11"/>
      <c r="B467" s="11"/>
      <c r="C467" s="11"/>
      <c r="D467" s="11"/>
      <c r="E467" s="11"/>
    </row>
    <row r="468">
      <c r="A468" s="11"/>
      <c r="B468" s="11"/>
      <c r="C468" s="11"/>
      <c r="D468" s="11"/>
      <c r="E468" s="11"/>
    </row>
    <row r="469">
      <c r="A469" s="11"/>
      <c r="B469" s="11"/>
      <c r="C469" s="11"/>
      <c r="D469" s="11"/>
      <c r="E469" s="11"/>
    </row>
    <row r="470">
      <c r="A470" s="11"/>
      <c r="B470" s="11"/>
      <c r="C470" s="11"/>
      <c r="D470" s="11"/>
      <c r="E470" s="11"/>
    </row>
    <row r="471">
      <c r="A471" s="11"/>
      <c r="B471" s="11"/>
      <c r="C471" s="11"/>
      <c r="D471" s="11"/>
      <c r="E471" s="11"/>
    </row>
    <row r="472">
      <c r="A472" s="11"/>
      <c r="B472" s="11"/>
      <c r="C472" s="11"/>
      <c r="D472" s="11"/>
      <c r="E472" s="11"/>
    </row>
    <row r="473">
      <c r="A473" s="11"/>
      <c r="B473" s="11"/>
      <c r="C473" s="11"/>
      <c r="D473" s="11"/>
      <c r="E473" s="11"/>
    </row>
    <row r="474">
      <c r="A474" s="11"/>
      <c r="B474" s="11"/>
      <c r="C474" s="11"/>
      <c r="D474" s="11"/>
      <c r="E474" s="11"/>
    </row>
    <row r="475">
      <c r="A475" s="11"/>
      <c r="B475" s="11"/>
      <c r="C475" s="11"/>
      <c r="D475" s="11"/>
      <c r="E475" s="11"/>
    </row>
    <row r="476">
      <c r="A476" s="11"/>
      <c r="B476" s="11"/>
      <c r="C476" s="11"/>
      <c r="D476" s="11"/>
      <c r="E476" s="11"/>
    </row>
    <row r="477">
      <c r="A477" s="11"/>
      <c r="B477" s="11"/>
      <c r="C477" s="11"/>
      <c r="D477" s="11"/>
      <c r="E477" s="11"/>
    </row>
    <row r="478">
      <c r="A478" s="11"/>
      <c r="B478" s="11"/>
      <c r="C478" s="11"/>
      <c r="D478" s="11"/>
      <c r="E478" s="11"/>
    </row>
    <row r="479">
      <c r="A479" s="11"/>
      <c r="B479" s="11"/>
      <c r="C479" s="11"/>
      <c r="D479" s="11"/>
      <c r="E479" s="11"/>
    </row>
    <row r="480">
      <c r="A480" s="11"/>
      <c r="B480" s="11"/>
      <c r="C480" s="11"/>
      <c r="D480" s="11"/>
      <c r="E480" s="11"/>
    </row>
    <row r="481">
      <c r="A481" s="11"/>
      <c r="B481" s="11"/>
      <c r="C481" s="11"/>
      <c r="D481" s="11"/>
      <c r="E481" s="11"/>
    </row>
    <row r="482">
      <c r="A482" s="11"/>
      <c r="B482" s="11"/>
      <c r="C482" s="11"/>
      <c r="D482" s="11"/>
      <c r="E482" s="11"/>
    </row>
    <row r="483">
      <c r="A483" s="11"/>
      <c r="B483" s="11"/>
      <c r="C483" s="11"/>
      <c r="D483" s="11"/>
      <c r="E483" s="11"/>
    </row>
    <row r="484">
      <c r="A484" s="11"/>
      <c r="B484" s="11"/>
      <c r="C484" s="11"/>
      <c r="D484" s="11"/>
      <c r="E484" s="11"/>
    </row>
    <row r="485">
      <c r="A485" s="11"/>
      <c r="B485" s="11"/>
      <c r="C485" s="11"/>
      <c r="D485" s="11"/>
      <c r="E485" s="11"/>
    </row>
    <row r="486">
      <c r="A486" s="11"/>
      <c r="B486" s="11"/>
      <c r="C486" s="11"/>
      <c r="D486" s="11"/>
      <c r="E486" s="11"/>
    </row>
    <row r="487">
      <c r="A487" s="11"/>
      <c r="B487" s="11"/>
      <c r="C487" s="11"/>
      <c r="D487" s="11"/>
      <c r="E487" s="11"/>
    </row>
    <row r="488">
      <c r="A488" s="11"/>
      <c r="B488" s="11"/>
      <c r="C488" s="11"/>
      <c r="D488" s="11"/>
      <c r="E488" s="11"/>
    </row>
    <row r="489">
      <c r="A489" s="11"/>
      <c r="B489" s="11"/>
      <c r="C489" s="11"/>
      <c r="D489" s="11"/>
      <c r="E489" s="11"/>
    </row>
    <row r="490">
      <c r="A490" s="11"/>
      <c r="B490" s="11"/>
      <c r="C490" s="11"/>
      <c r="D490" s="11"/>
      <c r="E490" s="11"/>
    </row>
    <row r="491">
      <c r="A491" s="11"/>
      <c r="B491" s="11"/>
      <c r="C491" s="11"/>
      <c r="D491" s="11"/>
      <c r="E491" s="11"/>
    </row>
    <row r="492">
      <c r="A492" s="11"/>
      <c r="B492" s="11"/>
      <c r="C492" s="11"/>
      <c r="D492" s="11"/>
      <c r="E492" s="11"/>
    </row>
    <row r="493">
      <c r="A493" s="11"/>
      <c r="B493" s="11"/>
      <c r="C493" s="11"/>
      <c r="D493" s="11"/>
      <c r="E493" s="11"/>
    </row>
    <row r="494">
      <c r="A494" s="11"/>
      <c r="B494" s="11"/>
      <c r="C494" s="11"/>
      <c r="D494" s="11"/>
      <c r="E494" s="11"/>
    </row>
    <row r="495">
      <c r="A495" s="11"/>
      <c r="B495" s="11"/>
      <c r="C495" s="11"/>
      <c r="D495" s="11"/>
      <c r="E495" s="11"/>
    </row>
    <row r="496">
      <c r="A496" s="11"/>
      <c r="B496" s="11"/>
      <c r="C496" s="11"/>
      <c r="D496" s="11"/>
      <c r="E496" s="11"/>
    </row>
    <row r="497">
      <c r="A497" s="11"/>
      <c r="B497" s="11"/>
      <c r="C497" s="11"/>
      <c r="D497" s="11"/>
      <c r="E497" s="11"/>
    </row>
    <row r="498">
      <c r="A498" s="11"/>
      <c r="B498" s="11"/>
      <c r="C498" s="11"/>
      <c r="D498" s="11"/>
      <c r="E498" s="11"/>
    </row>
    <row r="499">
      <c r="A499" s="11"/>
      <c r="B499" s="11"/>
      <c r="C499" s="11"/>
      <c r="D499" s="11"/>
      <c r="E499" s="11"/>
    </row>
    <row r="500">
      <c r="A500" s="11"/>
      <c r="B500" s="11"/>
      <c r="C500" s="11"/>
      <c r="D500" s="11"/>
      <c r="E500" s="11"/>
    </row>
    <row r="501">
      <c r="A501" s="11"/>
      <c r="B501" s="11"/>
      <c r="C501" s="11"/>
      <c r="D501" s="11"/>
      <c r="E501" s="11"/>
    </row>
    <row r="502">
      <c r="A502" s="11"/>
      <c r="B502" s="11"/>
      <c r="C502" s="11"/>
      <c r="D502" s="11"/>
      <c r="E502" s="11"/>
    </row>
    <row r="503">
      <c r="A503" s="11"/>
      <c r="B503" s="11"/>
      <c r="C503" s="11"/>
      <c r="D503" s="11"/>
      <c r="E503" s="11"/>
    </row>
    <row r="504">
      <c r="A504" s="11"/>
      <c r="B504" s="11"/>
      <c r="C504" s="11"/>
      <c r="D504" s="11"/>
      <c r="E504" s="11"/>
    </row>
    <row r="505">
      <c r="A505" s="11"/>
      <c r="B505" s="11"/>
      <c r="C505" s="11"/>
      <c r="D505" s="11"/>
      <c r="E505" s="11"/>
    </row>
    <row r="506">
      <c r="A506" s="11"/>
      <c r="B506" s="11"/>
      <c r="C506" s="11"/>
      <c r="D506" s="11"/>
      <c r="E506" s="11"/>
    </row>
    <row r="507">
      <c r="A507" s="11"/>
      <c r="B507" s="11"/>
      <c r="C507" s="11"/>
      <c r="D507" s="11"/>
      <c r="E507" s="11"/>
    </row>
    <row r="508">
      <c r="A508" s="11"/>
      <c r="B508" s="11"/>
      <c r="C508" s="11"/>
      <c r="D508" s="11"/>
      <c r="E508" s="11"/>
    </row>
    <row r="509">
      <c r="A509" s="11"/>
      <c r="B509" s="11"/>
      <c r="C509" s="11"/>
      <c r="D509" s="11"/>
      <c r="E509" s="11"/>
    </row>
    <row r="510">
      <c r="A510" s="11"/>
      <c r="B510" s="11"/>
      <c r="C510" s="11"/>
      <c r="D510" s="11"/>
      <c r="E510" s="11"/>
    </row>
    <row r="511">
      <c r="A511" s="11"/>
      <c r="B511" s="11"/>
      <c r="C511" s="11"/>
      <c r="D511" s="11"/>
      <c r="E511" s="11"/>
    </row>
    <row r="512">
      <c r="A512" s="11"/>
      <c r="B512" s="11"/>
      <c r="C512" s="11"/>
      <c r="D512" s="11"/>
      <c r="E512" s="11"/>
    </row>
    <row r="513">
      <c r="A513" s="11"/>
      <c r="B513" s="11"/>
      <c r="C513" s="11"/>
      <c r="D513" s="11"/>
      <c r="E513" s="11"/>
    </row>
    <row r="514">
      <c r="A514" s="11"/>
      <c r="B514" s="11"/>
      <c r="C514" s="11"/>
      <c r="D514" s="11"/>
      <c r="E514" s="11"/>
    </row>
    <row r="515">
      <c r="A515" s="11"/>
      <c r="B515" s="11"/>
      <c r="C515" s="11"/>
      <c r="D515" s="11"/>
      <c r="E515" s="11"/>
    </row>
    <row r="516">
      <c r="A516" s="11"/>
      <c r="B516" s="11"/>
      <c r="C516" s="11"/>
      <c r="D516" s="11"/>
      <c r="E516" s="11"/>
    </row>
    <row r="517">
      <c r="A517" s="11"/>
      <c r="B517" s="11"/>
      <c r="C517" s="11"/>
      <c r="D517" s="11"/>
      <c r="E517" s="11"/>
    </row>
    <row r="518">
      <c r="A518" s="11"/>
      <c r="B518" s="11"/>
      <c r="C518" s="11"/>
      <c r="D518" s="11"/>
      <c r="E518" s="11"/>
    </row>
    <row r="519">
      <c r="A519" s="11"/>
      <c r="B519" s="11"/>
      <c r="C519" s="11"/>
      <c r="D519" s="11"/>
      <c r="E519" s="11"/>
    </row>
    <row r="520">
      <c r="A520" s="11"/>
      <c r="B520" s="11"/>
      <c r="C520" s="11"/>
      <c r="D520" s="11"/>
      <c r="E520" s="11"/>
    </row>
    <row r="521">
      <c r="A521" s="11"/>
      <c r="B521" s="11"/>
      <c r="C521" s="11"/>
      <c r="D521" s="11"/>
      <c r="E521" s="11"/>
    </row>
    <row r="522">
      <c r="A522" s="11"/>
      <c r="B522" s="11"/>
      <c r="C522" s="11"/>
      <c r="D522" s="11"/>
      <c r="E522" s="11"/>
    </row>
    <row r="523">
      <c r="A523" s="11"/>
      <c r="B523" s="11"/>
      <c r="C523" s="11"/>
      <c r="D523" s="11"/>
      <c r="E523" s="11"/>
    </row>
    <row r="524">
      <c r="A524" s="11"/>
      <c r="B524" s="11"/>
      <c r="C524" s="11"/>
      <c r="D524" s="11"/>
      <c r="E524" s="11"/>
    </row>
    <row r="525">
      <c r="A525" s="11"/>
      <c r="B525" s="11"/>
      <c r="C525" s="11"/>
      <c r="D525" s="11"/>
      <c r="E525" s="11"/>
    </row>
    <row r="526">
      <c r="A526" s="11"/>
      <c r="B526" s="11"/>
      <c r="C526" s="11"/>
      <c r="D526" s="11"/>
      <c r="E526" s="11"/>
    </row>
    <row r="527">
      <c r="A527" s="11"/>
      <c r="B527" s="11"/>
      <c r="C527" s="11"/>
      <c r="D527" s="11"/>
      <c r="E527" s="11"/>
    </row>
    <row r="528">
      <c r="A528" s="11"/>
      <c r="B528" s="11"/>
      <c r="C528" s="11"/>
      <c r="D528" s="11"/>
      <c r="E528" s="11"/>
    </row>
    <row r="529">
      <c r="A529" s="11"/>
      <c r="B529" s="11"/>
      <c r="C529" s="11"/>
      <c r="D529" s="11"/>
      <c r="E529" s="11"/>
    </row>
    <row r="530">
      <c r="A530" s="11"/>
      <c r="B530" s="11"/>
      <c r="C530" s="11"/>
      <c r="D530" s="11"/>
      <c r="E530" s="11"/>
    </row>
    <row r="531">
      <c r="A531" s="11"/>
      <c r="B531" s="11"/>
      <c r="C531" s="11"/>
      <c r="D531" s="11"/>
      <c r="E531" s="11"/>
    </row>
    <row r="532">
      <c r="A532" s="11"/>
      <c r="B532" s="11"/>
      <c r="C532" s="11"/>
      <c r="D532" s="11"/>
      <c r="E532" s="11"/>
    </row>
    <row r="533">
      <c r="A533" s="11"/>
      <c r="B533" s="11"/>
      <c r="C533" s="11"/>
      <c r="D533" s="11"/>
      <c r="E533" s="11"/>
    </row>
    <row r="534">
      <c r="A534" s="11"/>
      <c r="B534" s="11"/>
      <c r="C534" s="11"/>
      <c r="D534" s="11"/>
      <c r="E534" s="11"/>
    </row>
    <row r="535">
      <c r="A535" s="11"/>
      <c r="B535" s="11"/>
      <c r="C535" s="11"/>
      <c r="D535" s="11"/>
      <c r="E535" s="11"/>
    </row>
    <row r="536">
      <c r="A536" s="11"/>
      <c r="B536" s="11"/>
      <c r="C536" s="11"/>
      <c r="D536" s="11"/>
      <c r="E536" s="11"/>
    </row>
    <row r="537">
      <c r="A537" s="11"/>
      <c r="B537" s="11"/>
      <c r="C537" s="11"/>
      <c r="D537" s="11"/>
      <c r="E537" s="11"/>
    </row>
    <row r="538">
      <c r="A538" s="11"/>
      <c r="B538" s="11"/>
      <c r="C538" s="11"/>
      <c r="D538" s="11"/>
      <c r="E538" s="11"/>
    </row>
    <row r="539">
      <c r="A539" s="11"/>
      <c r="B539" s="11"/>
      <c r="C539" s="11"/>
      <c r="D539" s="11"/>
      <c r="E539" s="11"/>
    </row>
    <row r="540">
      <c r="A540" s="11"/>
      <c r="B540" s="11"/>
      <c r="C540" s="11"/>
      <c r="D540" s="11"/>
      <c r="E540" s="11"/>
    </row>
    <row r="541">
      <c r="A541" s="11"/>
      <c r="B541" s="11"/>
      <c r="C541" s="11"/>
      <c r="D541" s="11"/>
      <c r="E541" s="11"/>
    </row>
    <row r="542">
      <c r="A542" s="11"/>
      <c r="B542" s="11"/>
      <c r="C542" s="11"/>
      <c r="D542" s="11"/>
      <c r="E542" s="11"/>
    </row>
    <row r="543">
      <c r="A543" s="11"/>
      <c r="B543" s="11"/>
      <c r="C543" s="11"/>
      <c r="D543" s="11"/>
      <c r="E543" s="11"/>
    </row>
    <row r="544">
      <c r="A544" s="11"/>
      <c r="B544" s="11"/>
      <c r="C544" s="11"/>
      <c r="D544" s="11"/>
      <c r="E544" s="11"/>
    </row>
    <row r="545">
      <c r="A545" s="11"/>
      <c r="B545" s="11"/>
      <c r="C545" s="11"/>
      <c r="D545" s="11"/>
      <c r="E545" s="11"/>
    </row>
    <row r="546">
      <c r="A546" s="11"/>
      <c r="B546" s="11"/>
      <c r="C546" s="11"/>
      <c r="D546" s="11"/>
      <c r="E546" s="11"/>
    </row>
    <row r="547">
      <c r="A547" s="11"/>
      <c r="B547" s="11"/>
      <c r="C547" s="11"/>
      <c r="D547" s="11"/>
      <c r="E547" s="11"/>
    </row>
    <row r="548">
      <c r="A548" s="11"/>
      <c r="B548" s="11"/>
      <c r="C548" s="11"/>
      <c r="D548" s="11"/>
      <c r="E548" s="11"/>
    </row>
    <row r="549">
      <c r="A549" s="11"/>
      <c r="B549" s="11"/>
      <c r="C549" s="11"/>
      <c r="D549" s="11"/>
      <c r="E549" s="11"/>
    </row>
    <row r="550">
      <c r="A550" s="11"/>
      <c r="B550" s="11"/>
      <c r="C550" s="11"/>
      <c r="D550" s="11"/>
      <c r="E550" s="11"/>
    </row>
    <row r="551">
      <c r="A551" s="11"/>
      <c r="B551" s="11"/>
      <c r="C551" s="11"/>
      <c r="D551" s="11"/>
      <c r="E551" s="11"/>
    </row>
    <row r="552">
      <c r="A552" s="11"/>
      <c r="B552" s="11"/>
      <c r="C552" s="11"/>
      <c r="D552" s="11"/>
      <c r="E552" s="11"/>
    </row>
    <row r="553">
      <c r="A553" s="11"/>
      <c r="B553" s="11"/>
      <c r="C553" s="11"/>
      <c r="D553" s="11"/>
      <c r="E553" s="11"/>
    </row>
    <row r="554">
      <c r="A554" s="11"/>
      <c r="B554" s="11"/>
      <c r="C554" s="11"/>
      <c r="D554" s="11"/>
      <c r="E554" s="11"/>
    </row>
    <row r="555">
      <c r="A555" s="11"/>
      <c r="B555" s="11"/>
      <c r="C555" s="11"/>
      <c r="D555" s="11"/>
      <c r="E555" s="11"/>
    </row>
    <row r="556">
      <c r="A556" s="11"/>
      <c r="B556" s="11"/>
      <c r="C556" s="11"/>
      <c r="D556" s="11"/>
      <c r="E556" s="11"/>
    </row>
    <row r="557">
      <c r="A557" s="11"/>
      <c r="B557" s="11"/>
      <c r="C557" s="11"/>
      <c r="D557" s="11"/>
      <c r="E557" s="11"/>
    </row>
    <row r="558">
      <c r="A558" s="11"/>
      <c r="B558" s="11"/>
      <c r="C558" s="11"/>
      <c r="D558" s="11"/>
      <c r="E558" s="11"/>
    </row>
    <row r="559">
      <c r="A559" s="11"/>
      <c r="B559" s="11"/>
      <c r="C559" s="11"/>
      <c r="D559" s="11"/>
      <c r="E559" s="11"/>
    </row>
    <row r="560">
      <c r="A560" s="11"/>
      <c r="B560" s="11"/>
      <c r="C560" s="11"/>
      <c r="D560" s="11"/>
      <c r="E560" s="11"/>
    </row>
    <row r="561">
      <c r="A561" s="11"/>
      <c r="B561" s="11"/>
      <c r="C561" s="11"/>
      <c r="D561" s="11"/>
      <c r="E561" s="11"/>
    </row>
    <row r="562">
      <c r="A562" s="11"/>
      <c r="B562" s="11"/>
      <c r="C562" s="11"/>
      <c r="D562" s="11"/>
      <c r="E562" s="11"/>
    </row>
    <row r="563">
      <c r="A563" s="11"/>
      <c r="B563" s="11"/>
      <c r="C563" s="11"/>
      <c r="D563" s="11"/>
      <c r="E563" s="11"/>
    </row>
    <row r="564">
      <c r="A564" s="11"/>
      <c r="B564" s="11"/>
      <c r="C564" s="11"/>
      <c r="D564" s="11"/>
      <c r="E564" s="11"/>
    </row>
    <row r="565">
      <c r="A565" s="11"/>
      <c r="B565" s="11"/>
      <c r="C565" s="11"/>
      <c r="D565" s="11"/>
      <c r="E565" s="11"/>
    </row>
    <row r="566">
      <c r="A566" s="11"/>
      <c r="B566" s="11"/>
      <c r="C566" s="11"/>
      <c r="D566" s="11"/>
      <c r="E566" s="11"/>
    </row>
    <row r="567">
      <c r="A567" s="11"/>
      <c r="B567" s="11"/>
      <c r="C567" s="11"/>
      <c r="D567" s="11"/>
      <c r="E567" s="11"/>
    </row>
    <row r="568">
      <c r="A568" s="11"/>
      <c r="B568" s="11"/>
      <c r="C568" s="11"/>
      <c r="D568" s="11"/>
      <c r="E568" s="11"/>
    </row>
    <row r="569">
      <c r="A569" s="11"/>
      <c r="B569" s="11"/>
      <c r="C569" s="11"/>
      <c r="D569" s="11"/>
      <c r="E569" s="11"/>
    </row>
    <row r="570">
      <c r="A570" s="11"/>
      <c r="B570" s="11"/>
      <c r="C570" s="11"/>
      <c r="D570" s="11"/>
      <c r="E570" s="11"/>
    </row>
    <row r="571">
      <c r="A571" s="11"/>
      <c r="B571" s="11"/>
      <c r="C571" s="11"/>
      <c r="D571" s="11"/>
      <c r="E571" s="11"/>
    </row>
    <row r="572">
      <c r="A572" s="11"/>
      <c r="B572" s="11"/>
      <c r="C572" s="11"/>
      <c r="D572" s="11"/>
      <c r="E572" s="11"/>
    </row>
    <row r="573">
      <c r="A573" s="11"/>
      <c r="B573" s="11"/>
      <c r="C573" s="11"/>
      <c r="D573" s="11"/>
      <c r="E573" s="11"/>
    </row>
    <row r="574">
      <c r="A574" s="11"/>
      <c r="B574" s="11"/>
      <c r="C574" s="11"/>
      <c r="D574" s="11"/>
      <c r="E574" s="11"/>
    </row>
    <row r="575">
      <c r="A575" s="11"/>
      <c r="B575" s="11"/>
      <c r="C575" s="11"/>
      <c r="D575" s="11"/>
      <c r="E575" s="11"/>
    </row>
    <row r="576">
      <c r="A576" s="11"/>
      <c r="B576" s="11"/>
      <c r="C576" s="11"/>
      <c r="D576" s="11"/>
      <c r="E576" s="11"/>
    </row>
    <row r="577">
      <c r="A577" s="11"/>
      <c r="B577" s="11"/>
      <c r="C577" s="11"/>
      <c r="D577" s="11"/>
      <c r="E577" s="11"/>
    </row>
    <row r="578">
      <c r="A578" s="11"/>
      <c r="B578" s="11"/>
      <c r="C578" s="11"/>
      <c r="D578" s="11"/>
      <c r="E578" s="11"/>
    </row>
    <row r="579">
      <c r="A579" s="11"/>
      <c r="B579" s="11"/>
      <c r="C579" s="11"/>
      <c r="D579" s="11"/>
      <c r="E579" s="11"/>
    </row>
    <row r="580">
      <c r="A580" s="11"/>
      <c r="B580" s="11"/>
      <c r="C580" s="11"/>
      <c r="D580" s="11"/>
      <c r="E580" s="11"/>
    </row>
    <row r="581">
      <c r="A581" s="11"/>
      <c r="B581" s="11"/>
      <c r="C581" s="11"/>
      <c r="D581" s="11"/>
      <c r="E581" s="11"/>
    </row>
    <row r="582">
      <c r="A582" s="11"/>
      <c r="B582" s="11"/>
      <c r="C582" s="11"/>
      <c r="D582" s="11"/>
      <c r="E582" s="11"/>
    </row>
    <row r="583">
      <c r="A583" s="11"/>
      <c r="B583" s="11"/>
      <c r="C583" s="11"/>
      <c r="D583" s="11"/>
      <c r="E583" s="11"/>
    </row>
    <row r="584">
      <c r="A584" s="11"/>
      <c r="B584" s="11"/>
      <c r="C584" s="11"/>
      <c r="D584" s="11"/>
      <c r="E584" s="11"/>
    </row>
    <row r="585">
      <c r="A585" s="11"/>
      <c r="B585" s="11"/>
      <c r="C585" s="11"/>
      <c r="D585" s="11"/>
      <c r="E585" s="11"/>
    </row>
    <row r="586">
      <c r="A586" s="11"/>
      <c r="B586" s="11"/>
      <c r="C586" s="11"/>
      <c r="D586" s="11"/>
      <c r="E586" s="11"/>
    </row>
    <row r="587">
      <c r="A587" s="11"/>
      <c r="B587" s="11"/>
      <c r="C587" s="11"/>
      <c r="D587" s="11"/>
      <c r="E587" s="11"/>
    </row>
    <row r="588">
      <c r="A588" s="11"/>
      <c r="B588" s="11"/>
      <c r="C588" s="11"/>
      <c r="D588" s="11"/>
      <c r="E588" s="11"/>
    </row>
    <row r="589">
      <c r="A589" s="11"/>
      <c r="B589" s="11"/>
      <c r="C589" s="11"/>
      <c r="D589" s="11"/>
      <c r="E589" s="11"/>
    </row>
    <row r="590">
      <c r="A590" s="11"/>
      <c r="B590" s="11"/>
      <c r="C590" s="11"/>
      <c r="D590" s="11"/>
      <c r="E590" s="11"/>
    </row>
    <row r="591">
      <c r="A591" s="11"/>
      <c r="B591" s="11"/>
      <c r="C591" s="11"/>
      <c r="D591" s="11"/>
      <c r="E591" s="11"/>
    </row>
    <row r="592">
      <c r="A592" s="11"/>
      <c r="B592" s="11"/>
      <c r="C592" s="11"/>
      <c r="D592" s="11"/>
      <c r="E592" s="11"/>
    </row>
    <row r="593">
      <c r="A593" s="11"/>
      <c r="B593" s="11"/>
      <c r="C593" s="11"/>
      <c r="D593" s="11"/>
      <c r="E593" s="11"/>
    </row>
    <row r="594">
      <c r="A594" s="11"/>
      <c r="B594" s="11"/>
      <c r="C594" s="11"/>
      <c r="D594" s="11"/>
      <c r="E594" s="11"/>
    </row>
    <row r="595">
      <c r="A595" s="11"/>
      <c r="B595" s="11"/>
      <c r="C595" s="11"/>
      <c r="D595" s="11"/>
      <c r="E595" s="11"/>
    </row>
    <row r="596">
      <c r="A596" s="11"/>
      <c r="B596" s="11"/>
      <c r="C596" s="11"/>
      <c r="D596" s="11"/>
      <c r="E596" s="11"/>
    </row>
    <row r="597">
      <c r="A597" s="11"/>
      <c r="B597" s="11"/>
      <c r="C597" s="11"/>
      <c r="D597" s="11"/>
      <c r="E597" s="11"/>
    </row>
    <row r="598">
      <c r="A598" s="11"/>
      <c r="B598" s="11"/>
      <c r="C598" s="11"/>
      <c r="D598" s="11"/>
      <c r="E598" s="11"/>
    </row>
    <row r="599">
      <c r="A599" s="11"/>
      <c r="B599" s="11"/>
      <c r="C599" s="11"/>
      <c r="D599" s="11"/>
      <c r="E599" s="11"/>
    </row>
    <row r="600">
      <c r="A600" s="11"/>
      <c r="B600" s="11"/>
      <c r="C600" s="11"/>
      <c r="D600" s="11"/>
      <c r="E600" s="11"/>
    </row>
    <row r="601">
      <c r="A601" s="11"/>
      <c r="B601" s="11"/>
      <c r="C601" s="11"/>
      <c r="D601" s="11"/>
      <c r="E601" s="11"/>
    </row>
    <row r="602">
      <c r="A602" s="11"/>
      <c r="B602" s="11"/>
      <c r="C602" s="11"/>
      <c r="D602" s="11"/>
      <c r="E602" s="11"/>
    </row>
    <row r="603">
      <c r="A603" s="11"/>
      <c r="B603" s="11"/>
      <c r="C603" s="11"/>
      <c r="D603" s="11"/>
      <c r="E603" s="11"/>
    </row>
    <row r="604">
      <c r="A604" s="11"/>
      <c r="B604" s="11"/>
      <c r="C604" s="11"/>
      <c r="D604" s="11"/>
      <c r="E604" s="11"/>
    </row>
    <row r="605">
      <c r="A605" s="11"/>
      <c r="B605" s="11"/>
      <c r="C605" s="11"/>
      <c r="D605" s="11"/>
      <c r="E605" s="11"/>
    </row>
    <row r="606">
      <c r="A606" s="11"/>
      <c r="B606" s="11"/>
      <c r="C606" s="11"/>
      <c r="D606" s="11"/>
      <c r="E606" s="11"/>
    </row>
    <row r="607">
      <c r="A607" s="11"/>
      <c r="B607" s="11"/>
      <c r="C607" s="11"/>
      <c r="D607" s="11"/>
      <c r="E607" s="11"/>
    </row>
    <row r="608">
      <c r="A608" s="11"/>
      <c r="B608" s="11"/>
      <c r="C608" s="11"/>
      <c r="D608" s="11"/>
      <c r="E608" s="11"/>
    </row>
    <row r="609">
      <c r="A609" s="11"/>
      <c r="B609" s="11"/>
      <c r="C609" s="11"/>
      <c r="D609" s="11"/>
      <c r="E609" s="11"/>
    </row>
    <row r="610">
      <c r="A610" s="11"/>
      <c r="B610" s="11"/>
      <c r="C610" s="11"/>
      <c r="D610" s="11"/>
      <c r="E610" s="11"/>
    </row>
    <row r="611">
      <c r="A611" s="11"/>
      <c r="B611" s="11"/>
      <c r="C611" s="11"/>
      <c r="D611" s="11"/>
      <c r="E611" s="11"/>
    </row>
    <row r="612">
      <c r="A612" s="11"/>
      <c r="B612" s="11"/>
      <c r="C612" s="11"/>
      <c r="D612" s="11"/>
      <c r="E612" s="11"/>
    </row>
    <row r="613">
      <c r="A613" s="11"/>
      <c r="B613" s="11"/>
      <c r="C613" s="11"/>
      <c r="D613" s="11"/>
      <c r="E613" s="11"/>
    </row>
    <row r="614">
      <c r="A614" s="11"/>
      <c r="B614" s="11"/>
      <c r="C614" s="11"/>
      <c r="D614" s="11"/>
      <c r="E614" s="11"/>
    </row>
    <row r="615">
      <c r="A615" s="11"/>
      <c r="B615" s="11"/>
      <c r="C615" s="11"/>
      <c r="D615" s="11"/>
      <c r="E615" s="11"/>
    </row>
    <row r="616">
      <c r="A616" s="11"/>
      <c r="B616" s="11"/>
      <c r="C616" s="11"/>
      <c r="D616" s="11"/>
      <c r="E616" s="11"/>
    </row>
    <row r="617">
      <c r="A617" s="11"/>
      <c r="B617" s="11"/>
      <c r="C617" s="11"/>
      <c r="D617" s="11"/>
      <c r="E617" s="11"/>
    </row>
    <row r="618">
      <c r="A618" s="11"/>
      <c r="B618" s="11"/>
      <c r="C618" s="11"/>
      <c r="D618" s="11"/>
      <c r="E618" s="11"/>
    </row>
    <row r="619">
      <c r="A619" s="11"/>
      <c r="B619" s="11"/>
      <c r="C619" s="11"/>
      <c r="D619" s="11"/>
      <c r="E619" s="11"/>
    </row>
    <row r="620">
      <c r="A620" s="11"/>
      <c r="B620" s="11"/>
      <c r="C620" s="11"/>
      <c r="D620" s="11"/>
      <c r="E620" s="11"/>
    </row>
    <row r="621">
      <c r="A621" s="11"/>
      <c r="B621" s="11"/>
      <c r="C621" s="11"/>
      <c r="D621" s="11"/>
      <c r="E621" s="11"/>
    </row>
    <row r="622">
      <c r="A622" s="11"/>
      <c r="B622" s="11"/>
      <c r="C622" s="11"/>
      <c r="D622" s="11"/>
      <c r="E622" s="11"/>
    </row>
    <row r="623">
      <c r="A623" s="11"/>
      <c r="B623" s="11"/>
      <c r="C623" s="11"/>
      <c r="D623" s="11"/>
      <c r="E623" s="11"/>
    </row>
    <row r="624">
      <c r="A624" s="11"/>
      <c r="B624" s="11"/>
      <c r="C624" s="11"/>
      <c r="D624" s="11"/>
      <c r="E624" s="11"/>
    </row>
    <row r="625">
      <c r="A625" s="11"/>
      <c r="B625" s="11"/>
      <c r="C625" s="11"/>
      <c r="D625" s="11"/>
      <c r="E625" s="11"/>
    </row>
    <row r="626">
      <c r="A626" s="11"/>
      <c r="B626" s="11"/>
      <c r="C626" s="11"/>
      <c r="D626" s="11"/>
      <c r="E626" s="11"/>
    </row>
    <row r="627">
      <c r="A627" s="11"/>
      <c r="B627" s="11"/>
      <c r="C627" s="11"/>
      <c r="D627" s="11"/>
      <c r="E627" s="11"/>
    </row>
    <row r="628">
      <c r="A628" s="11"/>
      <c r="B628" s="11"/>
      <c r="C628" s="11"/>
      <c r="D628" s="11"/>
      <c r="E628" s="11"/>
    </row>
    <row r="629">
      <c r="A629" s="11"/>
      <c r="B629" s="11"/>
      <c r="C629" s="11"/>
      <c r="D629" s="11"/>
      <c r="E629" s="11"/>
    </row>
    <row r="630">
      <c r="A630" s="11"/>
      <c r="B630" s="11"/>
      <c r="C630" s="11"/>
      <c r="D630" s="11"/>
      <c r="E630" s="11"/>
    </row>
    <row r="631">
      <c r="A631" s="11"/>
      <c r="B631" s="11"/>
      <c r="C631" s="11"/>
      <c r="D631" s="11"/>
      <c r="E631" s="11"/>
    </row>
    <row r="632">
      <c r="A632" s="11"/>
      <c r="B632" s="11"/>
      <c r="C632" s="11"/>
      <c r="D632" s="11"/>
      <c r="E632" s="11"/>
    </row>
    <row r="633">
      <c r="A633" s="11"/>
      <c r="B633" s="11"/>
      <c r="C633" s="11"/>
      <c r="D633" s="11"/>
      <c r="E633" s="11"/>
    </row>
    <row r="634">
      <c r="A634" s="11"/>
      <c r="B634" s="11"/>
      <c r="C634" s="11"/>
      <c r="D634" s="11"/>
      <c r="E634" s="11"/>
    </row>
    <row r="635">
      <c r="A635" s="11"/>
      <c r="B635" s="11"/>
      <c r="C635" s="11"/>
      <c r="D635" s="11"/>
      <c r="E635" s="11"/>
    </row>
    <row r="636">
      <c r="A636" s="11"/>
      <c r="B636" s="11"/>
      <c r="C636" s="11"/>
      <c r="D636" s="11"/>
      <c r="E636" s="11"/>
    </row>
    <row r="637">
      <c r="A637" s="11"/>
      <c r="B637" s="11"/>
      <c r="C637" s="11"/>
      <c r="D637" s="11"/>
      <c r="E637" s="11"/>
    </row>
    <row r="638">
      <c r="A638" s="11"/>
      <c r="B638" s="11"/>
      <c r="C638" s="11"/>
      <c r="D638" s="11"/>
      <c r="E638" s="11"/>
    </row>
    <row r="639">
      <c r="A639" s="11"/>
      <c r="B639" s="11"/>
      <c r="C639" s="11"/>
      <c r="D639" s="11"/>
      <c r="E639" s="11"/>
    </row>
    <row r="640">
      <c r="A640" s="11"/>
      <c r="B640" s="11"/>
      <c r="C640" s="11"/>
      <c r="D640" s="11"/>
      <c r="E640" s="11"/>
    </row>
    <row r="641">
      <c r="A641" s="11"/>
      <c r="B641" s="11"/>
      <c r="C641" s="11"/>
      <c r="D641" s="11"/>
      <c r="E641" s="11"/>
    </row>
    <row r="642">
      <c r="A642" s="11"/>
      <c r="B642" s="11"/>
      <c r="C642" s="11"/>
      <c r="D642" s="11"/>
      <c r="E642" s="11"/>
    </row>
    <row r="643">
      <c r="A643" s="11"/>
      <c r="B643" s="11"/>
      <c r="C643" s="11"/>
      <c r="D643" s="11"/>
      <c r="E643" s="11"/>
    </row>
    <row r="644">
      <c r="A644" s="11"/>
      <c r="B644" s="11"/>
      <c r="C644" s="11"/>
      <c r="D644" s="11"/>
      <c r="E644" s="11"/>
    </row>
    <row r="645">
      <c r="A645" s="11"/>
      <c r="B645" s="11"/>
      <c r="C645" s="11"/>
      <c r="D645" s="11"/>
      <c r="E645" s="11"/>
    </row>
    <row r="646">
      <c r="A646" s="11"/>
      <c r="B646" s="11"/>
      <c r="C646" s="11"/>
      <c r="D646" s="11"/>
      <c r="E646" s="11"/>
    </row>
    <row r="647">
      <c r="A647" s="11"/>
      <c r="B647" s="11"/>
      <c r="C647" s="11"/>
      <c r="D647" s="11"/>
      <c r="E647" s="11"/>
    </row>
    <row r="648">
      <c r="A648" s="11"/>
      <c r="B648" s="11"/>
      <c r="C648" s="11"/>
      <c r="D648" s="11"/>
      <c r="E648" s="11"/>
    </row>
    <row r="649">
      <c r="A649" s="11"/>
      <c r="B649" s="11"/>
      <c r="C649" s="11"/>
      <c r="D649" s="11"/>
      <c r="E649" s="11"/>
    </row>
    <row r="650">
      <c r="A650" s="11"/>
      <c r="B650" s="11"/>
      <c r="C650" s="11"/>
      <c r="D650" s="11"/>
      <c r="E650" s="11"/>
    </row>
    <row r="651">
      <c r="A651" s="11"/>
      <c r="B651" s="11"/>
      <c r="C651" s="11"/>
      <c r="D651" s="11"/>
      <c r="E651" s="11"/>
    </row>
    <row r="652">
      <c r="A652" s="11"/>
      <c r="B652" s="11"/>
      <c r="C652" s="11"/>
      <c r="D652" s="11"/>
      <c r="E652" s="11"/>
    </row>
    <row r="653">
      <c r="A653" s="11"/>
      <c r="B653" s="11"/>
      <c r="C653" s="11"/>
      <c r="D653" s="11"/>
      <c r="E653" s="11"/>
    </row>
    <row r="654">
      <c r="A654" s="11"/>
      <c r="B654" s="11"/>
      <c r="C654" s="11"/>
      <c r="D654" s="11"/>
      <c r="E654" s="11"/>
    </row>
    <row r="655">
      <c r="A655" s="11"/>
      <c r="B655" s="11"/>
      <c r="C655" s="11"/>
      <c r="D655" s="11"/>
      <c r="E655" s="11"/>
    </row>
    <row r="656">
      <c r="A656" s="11"/>
      <c r="B656" s="11"/>
      <c r="C656" s="11"/>
      <c r="D656" s="11"/>
      <c r="E656" s="11"/>
    </row>
    <row r="657">
      <c r="A657" s="11"/>
      <c r="B657" s="11"/>
      <c r="C657" s="11"/>
      <c r="D657" s="11"/>
      <c r="E657" s="11"/>
    </row>
    <row r="658">
      <c r="A658" s="11"/>
      <c r="B658" s="11"/>
      <c r="C658" s="11"/>
      <c r="D658" s="11"/>
      <c r="E658" s="11"/>
    </row>
    <row r="659">
      <c r="A659" s="11"/>
      <c r="B659" s="11"/>
      <c r="C659" s="11"/>
      <c r="D659" s="11"/>
      <c r="E659" s="11"/>
    </row>
    <row r="660">
      <c r="A660" s="11"/>
      <c r="B660" s="11"/>
      <c r="C660" s="11"/>
      <c r="D660" s="11"/>
      <c r="E660" s="11"/>
    </row>
    <row r="661">
      <c r="A661" s="11"/>
      <c r="B661" s="11"/>
      <c r="C661" s="11"/>
      <c r="D661" s="11"/>
      <c r="E661" s="11"/>
    </row>
    <row r="662">
      <c r="A662" s="11"/>
      <c r="B662" s="11"/>
      <c r="C662" s="11"/>
      <c r="D662" s="11"/>
      <c r="E662" s="11"/>
    </row>
    <row r="663">
      <c r="A663" s="11"/>
      <c r="B663" s="11"/>
      <c r="C663" s="11"/>
      <c r="D663" s="11"/>
      <c r="E663" s="11"/>
    </row>
    <row r="664">
      <c r="A664" s="11"/>
      <c r="B664" s="11"/>
      <c r="C664" s="11"/>
      <c r="D664" s="11"/>
      <c r="E664" s="11"/>
    </row>
    <row r="665">
      <c r="A665" s="11"/>
      <c r="B665" s="11"/>
      <c r="C665" s="11"/>
      <c r="D665" s="11"/>
      <c r="E665" s="11"/>
    </row>
    <row r="666">
      <c r="A666" s="11"/>
      <c r="B666" s="11"/>
      <c r="C666" s="11"/>
      <c r="D666" s="11"/>
      <c r="E666" s="11"/>
    </row>
    <row r="667">
      <c r="A667" s="11"/>
      <c r="B667" s="11"/>
      <c r="C667" s="11"/>
      <c r="D667" s="11"/>
      <c r="E667" s="11"/>
    </row>
    <row r="668">
      <c r="A668" s="11"/>
      <c r="B668" s="11"/>
      <c r="C668" s="11"/>
      <c r="D668" s="11"/>
      <c r="E668" s="11"/>
    </row>
    <row r="669">
      <c r="A669" s="11"/>
      <c r="B669" s="11"/>
      <c r="C669" s="11"/>
      <c r="D669" s="11"/>
      <c r="E669" s="11"/>
    </row>
    <row r="670">
      <c r="A670" s="11"/>
      <c r="B670" s="11"/>
      <c r="C670" s="11"/>
      <c r="D670" s="11"/>
      <c r="E670" s="11"/>
    </row>
    <row r="671">
      <c r="A671" s="11"/>
      <c r="B671" s="11"/>
      <c r="C671" s="11"/>
      <c r="D671" s="11"/>
      <c r="E671" s="11"/>
    </row>
    <row r="672">
      <c r="A672" s="11"/>
      <c r="B672" s="11"/>
      <c r="C672" s="11"/>
      <c r="D672" s="11"/>
      <c r="E672" s="11"/>
    </row>
    <row r="673">
      <c r="A673" s="11"/>
      <c r="B673" s="11"/>
      <c r="C673" s="11"/>
      <c r="D673" s="11"/>
      <c r="E673" s="11"/>
    </row>
    <row r="674">
      <c r="A674" s="11"/>
      <c r="B674" s="11"/>
      <c r="C674" s="11"/>
      <c r="D674" s="11"/>
      <c r="E674" s="11"/>
    </row>
    <row r="675">
      <c r="A675" s="11"/>
      <c r="B675" s="11"/>
      <c r="C675" s="11"/>
      <c r="D675" s="11"/>
      <c r="E675" s="11"/>
    </row>
    <row r="676">
      <c r="A676" s="11"/>
      <c r="B676" s="11"/>
      <c r="C676" s="11"/>
      <c r="D676" s="11"/>
      <c r="E676" s="11"/>
    </row>
    <row r="677">
      <c r="A677" s="11"/>
      <c r="B677" s="11"/>
      <c r="C677" s="11"/>
      <c r="D677" s="11"/>
      <c r="E677" s="11"/>
    </row>
    <row r="678">
      <c r="A678" s="11"/>
      <c r="B678" s="11"/>
      <c r="C678" s="11"/>
      <c r="D678" s="11"/>
      <c r="E678" s="11"/>
    </row>
    <row r="679">
      <c r="A679" s="11"/>
      <c r="B679" s="11"/>
      <c r="C679" s="11"/>
      <c r="D679" s="11"/>
      <c r="E679" s="11"/>
    </row>
    <row r="680">
      <c r="A680" s="11"/>
      <c r="B680" s="11"/>
      <c r="C680" s="11"/>
      <c r="D680" s="11"/>
      <c r="E680" s="11"/>
    </row>
    <row r="681">
      <c r="A681" s="11"/>
      <c r="B681" s="11"/>
      <c r="C681" s="11"/>
      <c r="D681" s="11"/>
      <c r="E681" s="11"/>
    </row>
    <row r="682">
      <c r="A682" s="11"/>
      <c r="B682" s="11"/>
      <c r="C682" s="11"/>
      <c r="D682" s="11"/>
      <c r="E682" s="11"/>
    </row>
    <row r="683">
      <c r="A683" s="11"/>
      <c r="B683" s="11"/>
      <c r="C683" s="11"/>
      <c r="D683" s="11"/>
      <c r="E683" s="11"/>
    </row>
    <row r="684">
      <c r="A684" s="11"/>
      <c r="B684" s="11"/>
      <c r="C684" s="11"/>
      <c r="D684" s="11"/>
      <c r="E684" s="11"/>
    </row>
    <row r="685">
      <c r="A685" s="11"/>
      <c r="B685" s="11"/>
      <c r="C685" s="11"/>
      <c r="D685" s="11"/>
      <c r="E685" s="11"/>
    </row>
    <row r="686">
      <c r="A686" s="11"/>
      <c r="B686" s="11"/>
      <c r="C686" s="11"/>
      <c r="D686" s="11"/>
      <c r="E686" s="11"/>
    </row>
    <row r="687">
      <c r="A687" s="11"/>
      <c r="B687" s="11"/>
      <c r="C687" s="11"/>
      <c r="D687" s="11"/>
      <c r="E687" s="11"/>
    </row>
    <row r="688">
      <c r="A688" s="11"/>
      <c r="B688" s="11"/>
      <c r="C688" s="11"/>
      <c r="D688" s="11"/>
      <c r="E688" s="11"/>
    </row>
    <row r="689">
      <c r="A689" s="11"/>
      <c r="B689" s="11"/>
      <c r="C689" s="11"/>
      <c r="D689" s="11"/>
      <c r="E689" s="11"/>
    </row>
    <row r="690">
      <c r="A690" s="11"/>
      <c r="B690" s="11"/>
      <c r="C690" s="11"/>
      <c r="D690" s="11"/>
      <c r="E690" s="11"/>
    </row>
    <row r="691">
      <c r="A691" s="11"/>
      <c r="B691" s="11"/>
      <c r="C691" s="11"/>
      <c r="D691" s="11"/>
      <c r="E691" s="11"/>
    </row>
    <row r="692">
      <c r="A692" s="11"/>
      <c r="B692" s="11"/>
      <c r="C692" s="11"/>
      <c r="D692" s="11"/>
      <c r="E692" s="11"/>
    </row>
    <row r="693">
      <c r="A693" s="11"/>
      <c r="B693" s="11"/>
      <c r="C693" s="11"/>
      <c r="D693" s="11"/>
      <c r="E693" s="11"/>
    </row>
    <row r="694">
      <c r="A694" s="11"/>
      <c r="B694" s="11"/>
      <c r="C694" s="11"/>
      <c r="D694" s="11"/>
      <c r="E694" s="11"/>
    </row>
    <row r="695">
      <c r="A695" s="11"/>
      <c r="B695" s="11"/>
      <c r="C695" s="11"/>
      <c r="D695" s="11"/>
      <c r="E695" s="11"/>
    </row>
    <row r="696">
      <c r="A696" s="11"/>
      <c r="B696" s="11"/>
      <c r="C696" s="11"/>
      <c r="D696" s="11"/>
      <c r="E696" s="11"/>
    </row>
    <row r="697">
      <c r="A697" s="11"/>
      <c r="B697" s="11"/>
      <c r="C697" s="11"/>
      <c r="D697" s="11"/>
      <c r="E697" s="11"/>
    </row>
    <row r="698">
      <c r="A698" s="11"/>
      <c r="B698" s="11"/>
      <c r="C698" s="11"/>
      <c r="D698" s="11"/>
      <c r="E698" s="11"/>
    </row>
    <row r="699">
      <c r="A699" s="11"/>
      <c r="B699" s="11"/>
      <c r="C699" s="11"/>
      <c r="D699" s="11"/>
      <c r="E699" s="11"/>
    </row>
    <row r="700">
      <c r="A700" s="11"/>
      <c r="B700" s="11"/>
      <c r="C700" s="11"/>
      <c r="D700" s="11"/>
      <c r="E700" s="11"/>
    </row>
    <row r="701">
      <c r="A701" s="11"/>
      <c r="B701" s="11"/>
      <c r="C701" s="11"/>
      <c r="D701" s="11"/>
      <c r="E701" s="11"/>
    </row>
    <row r="702">
      <c r="A702" s="11"/>
      <c r="B702" s="11"/>
      <c r="C702" s="11"/>
      <c r="D702" s="11"/>
      <c r="E702" s="11"/>
    </row>
    <row r="703">
      <c r="A703" s="11"/>
      <c r="B703" s="11"/>
      <c r="C703" s="11"/>
      <c r="D703" s="11"/>
      <c r="E703" s="11"/>
    </row>
    <row r="704">
      <c r="A704" s="11"/>
      <c r="B704" s="11"/>
      <c r="C704" s="11"/>
      <c r="D704" s="11"/>
      <c r="E704" s="11"/>
    </row>
    <row r="705">
      <c r="A705" s="11"/>
      <c r="B705" s="11"/>
      <c r="C705" s="11"/>
      <c r="D705" s="11"/>
      <c r="E705" s="11"/>
    </row>
    <row r="706">
      <c r="A706" s="11"/>
      <c r="B706" s="11"/>
      <c r="C706" s="11"/>
      <c r="D706" s="11"/>
      <c r="E706" s="11"/>
    </row>
    <row r="707">
      <c r="A707" s="11"/>
      <c r="B707" s="11"/>
      <c r="C707" s="11"/>
      <c r="D707" s="11"/>
      <c r="E707" s="11"/>
    </row>
    <row r="708">
      <c r="A708" s="11"/>
      <c r="B708" s="11"/>
      <c r="C708" s="11"/>
      <c r="D708" s="11"/>
      <c r="E708" s="11"/>
    </row>
    <row r="709">
      <c r="A709" s="11"/>
      <c r="B709" s="11"/>
      <c r="C709" s="11"/>
      <c r="D709" s="11"/>
      <c r="E709" s="11"/>
    </row>
    <row r="710">
      <c r="A710" s="11"/>
      <c r="B710" s="11"/>
      <c r="C710" s="11"/>
      <c r="D710" s="11"/>
      <c r="E710" s="11"/>
    </row>
    <row r="711">
      <c r="A711" s="11"/>
      <c r="B711" s="11"/>
      <c r="C711" s="11"/>
      <c r="D711" s="11"/>
      <c r="E711" s="11"/>
    </row>
    <row r="712">
      <c r="A712" s="11"/>
      <c r="B712" s="11"/>
      <c r="C712" s="11"/>
      <c r="D712" s="11"/>
      <c r="E712" s="11"/>
    </row>
    <row r="713">
      <c r="A713" s="11"/>
      <c r="B713" s="11"/>
      <c r="C713" s="11"/>
      <c r="D713" s="11"/>
      <c r="E713" s="11"/>
    </row>
    <row r="714">
      <c r="A714" s="11"/>
      <c r="B714" s="11"/>
      <c r="C714" s="11"/>
      <c r="D714" s="11"/>
      <c r="E714" s="11"/>
    </row>
    <row r="715">
      <c r="A715" s="11"/>
      <c r="B715" s="11"/>
      <c r="C715" s="11"/>
      <c r="D715" s="11"/>
      <c r="E715" s="11"/>
    </row>
    <row r="716">
      <c r="A716" s="11"/>
      <c r="B716" s="11"/>
      <c r="C716" s="11"/>
      <c r="D716" s="11"/>
      <c r="E716" s="11"/>
    </row>
    <row r="717">
      <c r="A717" s="11"/>
      <c r="B717" s="11"/>
      <c r="C717" s="11"/>
      <c r="D717" s="11"/>
      <c r="E717" s="11"/>
    </row>
    <row r="718">
      <c r="A718" s="11"/>
      <c r="B718" s="11"/>
      <c r="C718" s="11"/>
      <c r="D718" s="11"/>
      <c r="E718" s="11"/>
    </row>
    <row r="719">
      <c r="A719" s="11"/>
      <c r="B719" s="11"/>
      <c r="C719" s="11"/>
      <c r="D719" s="11"/>
      <c r="E719" s="11"/>
    </row>
    <row r="720">
      <c r="A720" s="11"/>
      <c r="B720" s="11"/>
      <c r="C720" s="11"/>
      <c r="D720" s="11"/>
      <c r="E720" s="11"/>
    </row>
    <row r="721">
      <c r="A721" s="11"/>
      <c r="B721" s="11"/>
      <c r="C721" s="11"/>
      <c r="D721" s="11"/>
      <c r="E721" s="11"/>
    </row>
    <row r="722">
      <c r="A722" s="11"/>
      <c r="B722" s="11"/>
      <c r="C722" s="11"/>
      <c r="D722" s="11"/>
      <c r="E722" s="11"/>
    </row>
    <row r="723">
      <c r="A723" s="11"/>
      <c r="B723" s="11"/>
      <c r="C723" s="11"/>
      <c r="D723" s="11"/>
      <c r="E723" s="11"/>
    </row>
    <row r="724">
      <c r="A724" s="11"/>
      <c r="B724" s="11"/>
      <c r="C724" s="11"/>
      <c r="D724" s="11"/>
      <c r="E724" s="11"/>
    </row>
    <row r="725">
      <c r="A725" s="11"/>
      <c r="B725" s="11"/>
      <c r="C725" s="11"/>
      <c r="D725" s="11"/>
      <c r="E725" s="11"/>
    </row>
    <row r="726">
      <c r="A726" s="11"/>
      <c r="B726" s="11"/>
      <c r="C726" s="11"/>
      <c r="D726" s="11"/>
      <c r="E726" s="11"/>
    </row>
    <row r="727">
      <c r="A727" s="11"/>
      <c r="B727" s="11"/>
      <c r="C727" s="11"/>
      <c r="D727" s="11"/>
      <c r="E727" s="11"/>
    </row>
    <row r="728">
      <c r="A728" s="11"/>
      <c r="B728" s="11"/>
      <c r="C728" s="11"/>
      <c r="D728" s="11"/>
      <c r="E728" s="11"/>
    </row>
    <row r="729">
      <c r="A729" s="11"/>
      <c r="B729" s="11"/>
      <c r="C729" s="11"/>
      <c r="D729" s="11"/>
      <c r="E729" s="11"/>
    </row>
    <row r="730">
      <c r="A730" s="11"/>
      <c r="B730" s="11"/>
      <c r="C730" s="11"/>
      <c r="D730" s="11"/>
      <c r="E730" s="11"/>
    </row>
    <row r="731">
      <c r="A731" s="11"/>
      <c r="B731" s="11"/>
      <c r="C731" s="11"/>
      <c r="D731" s="11"/>
      <c r="E731" s="11"/>
    </row>
    <row r="732">
      <c r="A732" s="11"/>
      <c r="B732" s="11"/>
      <c r="C732" s="11"/>
      <c r="D732" s="11"/>
      <c r="E732" s="11"/>
    </row>
    <row r="733">
      <c r="A733" s="11"/>
      <c r="B733" s="11"/>
      <c r="C733" s="11"/>
      <c r="D733" s="11"/>
      <c r="E733" s="11"/>
    </row>
    <row r="734">
      <c r="A734" s="11"/>
      <c r="B734" s="11"/>
      <c r="C734" s="11"/>
      <c r="D734" s="11"/>
      <c r="E734" s="11"/>
    </row>
    <row r="735">
      <c r="A735" s="11"/>
      <c r="B735" s="11"/>
      <c r="C735" s="11"/>
      <c r="D735" s="11"/>
      <c r="E735" s="11"/>
    </row>
    <row r="736">
      <c r="A736" s="11"/>
      <c r="B736" s="11"/>
      <c r="C736" s="11"/>
      <c r="D736" s="11"/>
      <c r="E736" s="11"/>
    </row>
    <row r="737">
      <c r="A737" s="11"/>
      <c r="B737" s="11"/>
      <c r="C737" s="11"/>
      <c r="D737" s="11"/>
      <c r="E737" s="11"/>
    </row>
    <row r="738">
      <c r="A738" s="11"/>
      <c r="B738" s="11"/>
      <c r="C738" s="11"/>
      <c r="D738" s="11"/>
      <c r="E738" s="11"/>
    </row>
    <row r="739">
      <c r="A739" s="11"/>
      <c r="B739" s="11"/>
      <c r="C739" s="11"/>
      <c r="D739" s="11"/>
      <c r="E739" s="11"/>
    </row>
    <row r="740">
      <c r="A740" s="11"/>
      <c r="B740" s="11"/>
      <c r="C740" s="11"/>
      <c r="D740" s="11"/>
      <c r="E740" s="11"/>
    </row>
    <row r="741">
      <c r="A741" s="11"/>
      <c r="B741" s="11"/>
      <c r="C741" s="11"/>
      <c r="D741" s="11"/>
      <c r="E741" s="11"/>
    </row>
    <row r="742">
      <c r="A742" s="11"/>
      <c r="B742" s="11"/>
      <c r="C742" s="11"/>
      <c r="D742" s="11"/>
      <c r="E742" s="11"/>
    </row>
    <row r="743">
      <c r="A743" s="11"/>
      <c r="B743" s="11"/>
      <c r="C743" s="11"/>
      <c r="D743" s="11"/>
      <c r="E743" s="11"/>
    </row>
    <row r="744">
      <c r="A744" s="11"/>
      <c r="B744" s="11"/>
      <c r="C744" s="11"/>
      <c r="D744" s="11"/>
      <c r="E744" s="11"/>
    </row>
    <row r="745">
      <c r="A745" s="11"/>
      <c r="B745" s="11"/>
      <c r="C745" s="11"/>
      <c r="D745" s="11"/>
      <c r="E745" s="11"/>
    </row>
    <row r="746">
      <c r="A746" s="11"/>
      <c r="B746" s="11"/>
      <c r="C746" s="11"/>
      <c r="D746" s="11"/>
      <c r="E746" s="11"/>
    </row>
    <row r="747">
      <c r="A747" s="11"/>
      <c r="B747" s="11"/>
      <c r="C747" s="11"/>
      <c r="D747" s="11"/>
      <c r="E747" s="11"/>
    </row>
    <row r="748">
      <c r="A748" s="11"/>
      <c r="B748" s="11"/>
      <c r="C748" s="11"/>
      <c r="D748" s="11"/>
      <c r="E748" s="11"/>
    </row>
    <row r="749">
      <c r="A749" s="11"/>
      <c r="B749" s="11"/>
      <c r="C749" s="11"/>
      <c r="D749" s="11"/>
      <c r="E749" s="11"/>
    </row>
    <row r="750">
      <c r="A750" s="11"/>
      <c r="B750" s="11"/>
      <c r="C750" s="11"/>
      <c r="D750" s="11"/>
      <c r="E750" s="11"/>
    </row>
    <row r="751">
      <c r="A751" s="11"/>
      <c r="B751" s="11"/>
      <c r="C751" s="11"/>
      <c r="D751" s="11"/>
      <c r="E751" s="11"/>
    </row>
    <row r="752">
      <c r="A752" s="11"/>
      <c r="B752" s="11"/>
      <c r="C752" s="11"/>
      <c r="D752" s="11"/>
      <c r="E752" s="11"/>
    </row>
    <row r="753">
      <c r="A753" s="11"/>
      <c r="B753" s="11"/>
      <c r="C753" s="11"/>
      <c r="D753" s="11"/>
      <c r="E753" s="11"/>
    </row>
    <row r="754">
      <c r="A754" s="11"/>
      <c r="B754" s="11"/>
      <c r="C754" s="11"/>
      <c r="D754" s="11"/>
      <c r="E754" s="11"/>
    </row>
    <row r="755">
      <c r="A755" s="11"/>
      <c r="B755" s="11"/>
      <c r="C755" s="11"/>
      <c r="D755" s="11"/>
      <c r="E755" s="11"/>
    </row>
    <row r="756">
      <c r="A756" s="11"/>
      <c r="B756" s="11"/>
      <c r="C756" s="11"/>
      <c r="D756" s="11"/>
      <c r="E756" s="11"/>
    </row>
    <row r="757">
      <c r="A757" s="11"/>
      <c r="B757" s="11"/>
      <c r="C757" s="11"/>
      <c r="D757" s="11"/>
      <c r="E757" s="11"/>
    </row>
    <row r="758">
      <c r="A758" s="11"/>
      <c r="B758" s="11"/>
      <c r="C758" s="11"/>
      <c r="D758" s="11"/>
      <c r="E758" s="11"/>
    </row>
    <row r="759">
      <c r="A759" s="11"/>
      <c r="B759" s="11"/>
      <c r="C759" s="11"/>
      <c r="D759" s="11"/>
      <c r="E759" s="11"/>
    </row>
    <row r="760">
      <c r="A760" s="11"/>
      <c r="B760" s="11"/>
      <c r="C760" s="11"/>
      <c r="D760" s="11"/>
      <c r="E760" s="11"/>
    </row>
    <row r="761">
      <c r="A761" s="11"/>
      <c r="B761" s="11"/>
      <c r="C761" s="11"/>
      <c r="D761" s="11"/>
      <c r="E761" s="11"/>
    </row>
    <row r="762">
      <c r="A762" s="11"/>
      <c r="B762" s="11"/>
      <c r="C762" s="11"/>
      <c r="D762" s="11"/>
      <c r="E762" s="11"/>
    </row>
    <row r="763">
      <c r="A763" s="11"/>
      <c r="B763" s="11"/>
      <c r="C763" s="11"/>
      <c r="D763" s="11"/>
      <c r="E763" s="11"/>
    </row>
    <row r="764">
      <c r="A764" s="11"/>
      <c r="B764" s="11"/>
      <c r="C764" s="11"/>
      <c r="D764" s="11"/>
      <c r="E764" s="11"/>
    </row>
    <row r="765">
      <c r="A765" s="11"/>
      <c r="B765" s="11"/>
      <c r="C765" s="11"/>
      <c r="D765" s="11"/>
      <c r="E765" s="11"/>
    </row>
    <row r="766">
      <c r="A766" s="11"/>
      <c r="B766" s="11"/>
      <c r="C766" s="11"/>
      <c r="D766" s="11"/>
      <c r="E766" s="11"/>
    </row>
    <row r="767">
      <c r="A767" s="11"/>
      <c r="B767" s="11"/>
      <c r="C767" s="11"/>
      <c r="D767" s="11"/>
      <c r="E767" s="11"/>
    </row>
    <row r="768">
      <c r="A768" s="11"/>
      <c r="B768" s="11"/>
      <c r="C768" s="11"/>
      <c r="D768" s="11"/>
      <c r="E768" s="11"/>
    </row>
    <row r="769">
      <c r="A769" s="11"/>
      <c r="B769" s="11"/>
      <c r="C769" s="11"/>
      <c r="D769" s="11"/>
      <c r="E769" s="11"/>
    </row>
    <row r="770">
      <c r="A770" s="11"/>
      <c r="B770" s="11"/>
      <c r="C770" s="11"/>
      <c r="D770" s="11"/>
      <c r="E770" s="11"/>
    </row>
    <row r="771">
      <c r="A771" s="11"/>
      <c r="B771" s="11"/>
      <c r="C771" s="11"/>
      <c r="D771" s="11"/>
      <c r="E771" s="11"/>
    </row>
    <row r="772">
      <c r="A772" s="11"/>
      <c r="B772" s="11"/>
      <c r="C772" s="11"/>
      <c r="D772" s="11"/>
      <c r="E772" s="11"/>
    </row>
    <row r="773">
      <c r="A773" s="11"/>
      <c r="B773" s="11"/>
      <c r="C773" s="11"/>
      <c r="D773" s="11"/>
      <c r="E773" s="11"/>
    </row>
    <row r="774">
      <c r="A774" s="11"/>
      <c r="B774" s="11"/>
      <c r="C774" s="11"/>
      <c r="D774" s="11"/>
      <c r="E774" s="11"/>
    </row>
    <row r="775">
      <c r="A775" s="11"/>
      <c r="B775" s="11"/>
      <c r="C775" s="11"/>
      <c r="D775" s="11"/>
      <c r="E775" s="11"/>
    </row>
    <row r="776">
      <c r="A776" s="11"/>
      <c r="B776" s="11"/>
      <c r="C776" s="11"/>
      <c r="D776" s="11"/>
      <c r="E776" s="11"/>
    </row>
    <row r="777">
      <c r="A777" s="11"/>
      <c r="B777" s="11"/>
      <c r="C777" s="11"/>
      <c r="D777" s="11"/>
      <c r="E777" s="11"/>
    </row>
    <row r="778">
      <c r="A778" s="11"/>
      <c r="B778" s="11"/>
      <c r="C778" s="11"/>
      <c r="D778" s="11"/>
      <c r="E778" s="11"/>
    </row>
    <row r="779">
      <c r="A779" s="11"/>
      <c r="B779" s="11"/>
      <c r="C779" s="11"/>
      <c r="D779" s="11"/>
      <c r="E779" s="11"/>
    </row>
    <row r="780">
      <c r="A780" s="11"/>
      <c r="B780" s="11"/>
      <c r="C780" s="11"/>
      <c r="D780" s="11"/>
      <c r="E780" s="11"/>
    </row>
    <row r="781">
      <c r="A781" s="11"/>
      <c r="B781" s="11"/>
      <c r="C781" s="11"/>
      <c r="D781" s="11"/>
      <c r="E781" s="11"/>
    </row>
    <row r="782">
      <c r="A782" s="11"/>
      <c r="B782" s="11"/>
      <c r="C782" s="11"/>
      <c r="D782" s="11"/>
      <c r="E782" s="11"/>
    </row>
    <row r="783">
      <c r="A783" s="11"/>
      <c r="B783" s="11"/>
      <c r="C783" s="11"/>
      <c r="D783" s="11"/>
      <c r="E783" s="11"/>
    </row>
    <row r="784">
      <c r="A784" s="11"/>
      <c r="B784" s="11"/>
      <c r="C784" s="11"/>
      <c r="D784" s="11"/>
      <c r="E784" s="11"/>
    </row>
    <row r="785">
      <c r="A785" s="11"/>
      <c r="B785" s="11"/>
      <c r="C785" s="11"/>
      <c r="D785" s="11"/>
      <c r="E785" s="11"/>
    </row>
    <row r="786">
      <c r="A786" s="11"/>
      <c r="B786" s="11"/>
      <c r="C786" s="11"/>
      <c r="D786" s="11"/>
      <c r="E786" s="11"/>
    </row>
    <row r="787">
      <c r="A787" s="11"/>
      <c r="B787" s="11"/>
      <c r="C787" s="11"/>
      <c r="D787" s="11"/>
      <c r="E787" s="11"/>
    </row>
    <row r="788">
      <c r="A788" s="11"/>
      <c r="B788" s="11"/>
      <c r="C788" s="11"/>
      <c r="D788" s="11"/>
      <c r="E788" s="11"/>
    </row>
    <row r="789">
      <c r="A789" s="11"/>
      <c r="B789" s="11"/>
      <c r="C789" s="11"/>
      <c r="D789" s="11"/>
      <c r="E789" s="11"/>
    </row>
    <row r="790">
      <c r="A790" s="11"/>
      <c r="B790" s="11"/>
      <c r="C790" s="11"/>
      <c r="D790" s="11"/>
      <c r="E790" s="11"/>
    </row>
    <row r="791">
      <c r="A791" s="11"/>
      <c r="B791" s="11"/>
      <c r="C791" s="11"/>
      <c r="D791" s="11"/>
      <c r="E791" s="11"/>
    </row>
    <row r="792">
      <c r="A792" s="11"/>
      <c r="B792" s="11"/>
      <c r="C792" s="11"/>
      <c r="D792" s="11"/>
      <c r="E792" s="11"/>
    </row>
    <row r="793">
      <c r="A793" s="11"/>
      <c r="B793" s="11"/>
      <c r="C793" s="11"/>
      <c r="D793" s="11"/>
      <c r="E793" s="11"/>
    </row>
    <row r="794">
      <c r="A794" s="11"/>
      <c r="B794" s="11"/>
      <c r="C794" s="11"/>
      <c r="D794" s="11"/>
      <c r="E794" s="11"/>
    </row>
    <row r="795">
      <c r="A795" s="11"/>
      <c r="B795" s="11"/>
      <c r="C795" s="11"/>
      <c r="D795" s="11"/>
      <c r="E795" s="11"/>
    </row>
    <row r="796">
      <c r="A796" s="11"/>
      <c r="B796" s="11"/>
      <c r="C796" s="11"/>
      <c r="D796" s="11"/>
      <c r="E796" s="11"/>
    </row>
    <row r="797">
      <c r="A797" s="11"/>
      <c r="B797" s="11"/>
      <c r="C797" s="11"/>
      <c r="D797" s="11"/>
      <c r="E797" s="11"/>
    </row>
    <row r="798">
      <c r="A798" s="11"/>
      <c r="B798" s="11"/>
      <c r="C798" s="11"/>
      <c r="D798" s="11"/>
      <c r="E798" s="11"/>
    </row>
    <row r="799">
      <c r="A799" s="11"/>
      <c r="B799" s="11"/>
      <c r="C799" s="11"/>
      <c r="D799" s="11"/>
      <c r="E799" s="11"/>
    </row>
    <row r="800">
      <c r="A800" s="11"/>
      <c r="B800" s="11"/>
      <c r="C800" s="11"/>
      <c r="D800" s="11"/>
      <c r="E800" s="11"/>
    </row>
    <row r="801">
      <c r="A801" s="11"/>
      <c r="B801" s="11"/>
      <c r="C801" s="11"/>
      <c r="D801" s="11"/>
      <c r="E801" s="11"/>
    </row>
    <row r="802">
      <c r="A802" s="11"/>
      <c r="B802" s="11"/>
      <c r="C802" s="11"/>
      <c r="D802" s="11"/>
      <c r="E802" s="11"/>
    </row>
    <row r="803">
      <c r="A803" s="11"/>
      <c r="B803" s="11"/>
      <c r="C803" s="11"/>
      <c r="D803" s="11"/>
      <c r="E803" s="11"/>
    </row>
    <row r="804">
      <c r="A804" s="11"/>
      <c r="B804" s="11"/>
      <c r="C804" s="11"/>
      <c r="D804" s="11"/>
      <c r="E804" s="11"/>
    </row>
    <row r="805">
      <c r="A805" s="11"/>
      <c r="B805" s="11"/>
      <c r="C805" s="11"/>
      <c r="D805" s="11"/>
      <c r="E805" s="11"/>
    </row>
    <row r="806">
      <c r="A806" s="11"/>
      <c r="B806" s="11"/>
      <c r="C806" s="11"/>
      <c r="D806" s="11"/>
      <c r="E806" s="11"/>
    </row>
    <row r="807">
      <c r="A807" s="11"/>
      <c r="B807" s="11"/>
      <c r="C807" s="11"/>
      <c r="D807" s="11"/>
      <c r="E807" s="11"/>
    </row>
    <row r="808">
      <c r="A808" s="11"/>
      <c r="B808" s="11"/>
      <c r="C808" s="11"/>
      <c r="D808" s="11"/>
      <c r="E808" s="11"/>
    </row>
    <row r="809">
      <c r="A809" s="11"/>
      <c r="B809" s="11"/>
      <c r="C809" s="11"/>
      <c r="D809" s="11"/>
      <c r="E809" s="11"/>
    </row>
    <row r="810">
      <c r="A810" s="11"/>
      <c r="B810" s="11"/>
      <c r="C810" s="11"/>
      <c r="D810" s="11"/>
      <c r="E810" s="11"/>
    </row>
    <row r="811">
      <c r="A811" s="11"/>
      <c r="B811" s="11"/>
      <c r="C811" s="11"/>
      <c r="D811" s="11"/>
      <c r="E811" s="11"/>
    </row>
    <row r="812">
      <c r="A812" s="11"/>
      <c r="B812" s="11"/>
      <c r="C812" s="11"/>
      <c r="D812" s="11"/>
      <c r="E812" s="11"/>
    </row>
    <row r="813">
      <c r="A813" s="11"/>
      <c r="B813" s="11"/>
      <c r="C813" s="11"/>
      <c r="D813" s="11"/>
      <c r="E813" s="11"/>
    </row>
    <row r="814">
      <c r="A814" s="11"/>
      <c r="B814" s="11"/>
      <c r="C814" s="11"/>
      <c r="D814" s="11"/>
      <c r="E814" s="11"/>
    </row>
    <row r="815">
      <c r="A815" s="11"/>
      <c r="B815" s="11"/>
      <c r="C815" s="11"/>
      <c r="D815" s="11"/>
      <c r="E815" s="11"/>
    </row>
    <row r="816">
      <c r="A816" s="11"/>
      <c r="B816" s="11"/>
      <c r="C816" s="11"/>
      <c r="D816" s="11"/>
      <c r="E816" s="11"/>
    </row>
    <row r="817">
      <c r="A817" s="11"/>
      <c r="B817" s="11"/>
      <c r="C817" s="11"/>
      <c r="D817" s="11"/>
      <c r="E817" s="11"/>
    </row>
    <row r="818">
      <c r="A818" s="11"/>
      <c r="B818" s="11"/>
      <c r="C818" s="11"/>
      <c r="D818" s="11"/>
      <c r="E818" s="11"/>
    </row>
    <row r="819">
      <c r="A819" s="11"/>
      <c r="B819" s="11"/>
      <c r="C819" s="11"/>
      <c r="D819" s="11"/>
      <c r="E819" s="11"/>
    </row>
    <row r="820">
      <c r="A820" s="11"/>
      <c r="B820" s="11"/>
      <c r="C820" s="11"/>
      <c r="D820" s="11"/>
      <c r="E820" s="11"/>
    </row>
    <row r="821">
      <c r="A821" s="11"/>
      <c r="B821" s="11"/>
      <c r="C821" s="11"/>
      <c r="D821" s="11"/>
      <c r="E821" s="11"/>
    </row>
    <row r="822">
      <c r="A822" s="11"/>
      <c r="B822" s="11"/>
      <c r="C822" s="11"/>
      <c r="D822" s="11"/>
      <c r="E822" s="11"/>
    </row>
    <row r="823">
      <c r="A823" s="11"/>
      <c r="B823" s="11"/>
      <c r="C823" s="11"/>
      <c r="D823" s="11"/>
      <c r="E823" s="11"/>
    </row>
    <row r="824">
      <c r="A824" s="11"/>
      <c r="B824" s="11"/>
      <c r="C824" s="11"/>
      <c r="D824" s="11"/>
      <c r="E824" s="11"/>
    </row>
    <row r="825">
      <c r="A825" s="11"/>
      <c r="B825" s="11"/>
      <c r="C825" s="11"/>
      <c r="D825" s="11"/>
      <c r="E825" s="11"/>
    </row>
    <row r="826">
      <c r="A826" s="11"/>
      <c r="B826" s="11"/>
      <c r="C826" s="11"/>
      <c r="D826" s="11"/>
      <c r="E826" s="11"/>
    </row>
    <row r="827">
      <c r="A827" s="11"/>
      <c r="B827" s="11"/>
      <c r="C827" s="11"/>
      <c r="D827" s="11"/>
      <c r="E827" s="11"/>
    </row>
    <row r="828">
      <c r="A828" s="11"/>
      <c r="B828" s="11"/>
      <c r="C828" s="11"/>
      <c r="D828" s="11"/>
      <c r="E828" s="11"/>
    </row>
    <row r="829">
      <c r="A829" s="11"/>
      <c r="B829" s="11"/>
      <c r="C829" s="11"/>
      <c r="D829" s="11"/>
      <c r="E829" s="11"/>
    </row>
    <row r="830">
      <c r="A830" s="11"/>
      <c r="B830" s="11"/>
      <c r="C830" s="11"/>
      <c r="D830" s="11"/>
      <c r="E830" s="11"/>
    </row>
    <row r="831">
      <c r="A831" s="11"/>
      <c r="B831" s="11"/>
      <c r="C831" s="11"/>
      <c r="D831" s="11"/>
      <c r="E831" s="11"/>
    </row>
    <row r="832">
      <c r="A832" s="11"/>
      <c r="B832" s="11"/>
      <c r="C832" s="11"/>
      <c r="D832" s="11"/>
      <c r="E832" s="11"/>
    </row>
    <row r="833">
      <c r="A833" s="11"/>
      <c r="B833" s="11"/>
      <c r="C833" s="11"/>
      <c r="D833" s="11"/>
      <c r="E833" s="11"/>
    </row>
    <row r="834">
      <c r="A834" s="11"/>
      <c r="B834" s="11"/>
      <c r="C834" s="11"/>
      <c r="D834" s="11"/>
      <c r="E834" s="11"/>
    </row>
    <row r="835">
      <c r="A835" s="11"/>
      <c r="B835" s="11"/>
      <c r="C835" s="11"/>
      <c r="D835" s="11"/>
      <c r="E835" s="11"/>
    </row>
    <row r="836">
      <c r="A836" s="11"/>
      <c r="B836" s="11"/>
      <c r="C836" s="11"/>
      <c r="D836" s="11"/>
      <c r="E836" s="11"/>
    </row>
    <row r="837">
      <c r="A837" s="11"/>
      <c r="B837" s="11"/>
      <c r="C837" s="11"/>
      <c r="D837" s="11"/>
      <c r="E837" s="11"/>
    </row>
    <row r="838">
      <c r="A838" s="11"/>
      <c r="B838" s="11"/>
      <c r="C838" s="11"/>
      <c r="D838" s="11"/>
      <c r="E838" s="11"/>
    </row>
    <row r="839">
      <c r="A839" s="11"/>
      <c r="B839" s="11"/>
      <c r="C839" s="11"/>
      <c r="D839" s="11"/>
      <c r="E839" s="11"/>
    </row>
    <row r="840">
      <c r="A840" s="11"/>
      <c r="B840" s="11"/>
      <c r="C840" s="11"/>
      <c r="D840" s="11"/>
      <c r="E840" s="11"/>
    </row>
    <row r="841">
      <c r="A841" s="11"/>
      <c r="B841" s="11"/>
      <c r="C841" s="11"/>
      <c r="D841" s="11"/>
      <c r="E841" s="11"/>
    </row>
    <row r="842">
      <c r="A842" s="11"/>
      <c r="B842" s="11"/>
      <c r="C842" s="11"/>
      <c r="D842" s="11"/>
      <c r="E842" s="11"/>
    </row>
    <row r="843">
      <c r="A843" s="11"/>
      <c r="B843" s="11"/>
      <c r="C843" s="11"/>
      <c r="D843" s="11"/>
      <c r="E843" s="11"/>
    </row>
    <row r="844">
      <c r="A844" s="11"/>
      <c r="B844" s="11"/>
      <c r="C844" s="11"/>
      <c r="D844" s="11"/>
      <c r="E844" s="11"/>
    </row>
    <row r="845">
      <c r="A845" s="11"/>
      <c r="B845" s="11"/>
      <c r="C845" s="11"/>
      <c r="D845" s="11"/>
      <c r="E845" s="11"/>
    </row>
    <row r="846">
      <c r="A846" s="11"/>
      <c r="B846" s="11"/>
      <c r="C846" s="11"/>
      <c r="D846" s="11"/>
      <c r="E846" s="11"/>
    </row>
    <row r="847">
      <c r="A847" s="11"/>
      <c r="B847" s="11"/>
      <c r="C847" s="11"/>
      <c r="D847" s="11"/>
      <c r="E847" s="11"/>
    </row>
    <row r="848">
      <c r="A848" s="11"/>
      <c r="B848" s="11"/>
      <c r="C848" s="11"/>
      <c r="D848" s="11"/>
      <c r="E848" s="11"/>
    </row>
    <row r="849">
      <c r="A849" s="11"/>
      <c r="B849" s="11"/>
      <c r="C849" s="11"/>
      <c r="D849" s="11"/>
      <c r="E849" s="11"/>
    </row>
    <row r="850">
      <c r="A850" s="11"/>
      <c r="B850" s="11"/>
      <c r="C850" s="11"/>
      <c r="D850" s="11"/>
      <c r="E850" s="11"/>
    </row>
    <row r="851">
      <c r="A851" s="11"/>
      <c r="B851" s="11"/>
      <c r="C851" s="11"/>
      <c r="D851" s="11"/>
      <c r="E851" s="11"/>
    </row>
    <row r="852">
      <c r="A852" s="11"/>
      <c r="B852" s="11"/>
      <c r="C852" s="11"/>
      <c r="D852" s="11"/>
      <c r="E852" s="11"/>
    </row>
    <row r="853">
      <c r="A853" s="11"/>
      <c r="B853" s="11"/>
      <c r="C853" s="11"/>
      <c r="D853" s="11"/>
      <c r="E853" s="11"/>
    </row>
    <row r="854">
      <c r="A854" s="11"/>
      <c r="B854" s="11"/>
      <c r="C854" s="11"/>
      <c r="D854" s="11"/>
      <c r="E854" s="11"/>
    </row>
    <row r="855">
      <c r="A855" s="11"/>
      <c r="B855" s="11"/>
      <c r="C855" s="11"/>
      <c r="D855" s="11"/>
      <c r="E855" s="11"/>
    </row>
    <row r="856">
      <c r="A856" s="11"/>
      <c r="B856" s="11"/>
      <c r="C856" s="11"/>
      <c r="D856" s="11"/>
      <c r="E856" s="11"/>
    </row>
    <row r="857">
      <c r="A857" s="11"/>
      <c r="B857" s="11"/>
      <c r="C857" s="11"/>
      <c r="D857" s="11"/>
      <c r="E857" s="11"/>
    </row>
    <row r="858">
      <c r="A858" s="11"/>
      <c r="B858" s="11"/>
      <c r="C858" s="11"/>
      <c r="D858" s="11"/>
      <c r="E858" s="11"/>
    </row>
    <row r="859">
      <c r="A859" s="11"/>
      <c r="B859" s="11"/>
      <c r="C859" s="11"/>
      <c r="D859" s="11"/>
      <c r="E859" s="11"/>
    </row>
    <row r="860">
      <c r="A860" s="11"/>
      <c r="B860" s="11"/>
      <c r="C860" s="11"/>
      <c r="D860" s="11"/>
      <c r="E860" s="11"/>
    </row>
    <row r="861">
      <c r="A861" s="11"/>
      <c r="B861" s="11"/>
      <c r="C861" s="11"/>
      <c r="D861" s="11"/>
      <c r="E861" s="11"/>
    </row>
    <row r="862">
      <c r="A862" s="11"/>
      <c r="B862" s="11"/>
      <c r="C862" s="11"/>
      <c r="D862" s="11"/>
      <c r="E862" s="11"/>
    </row>
    <row r="863">
      <c r="A863" s="11"/>
      <c r="B863" s="11"/>
      <c r="C863" s="11"/>
      <c r="D863" s="11"/>
      <c r="E863" s="11"/>
    </row>
    <row r="864">
      <c r="A864" s="11"/>
      <c r="B864" s="11"/>
      <c r="C864" s="11"/>
      <c r="D864" s="11"/>
      <c r="E864" s="11"/>
    </row>
    <row r="865">
      <c r="A865" s="11"/>
      <c r="B865" s="11"/>
      <c r="C865" s="11"/>
      <c r="D865" s="11"/>
      <c r="E865" s="11"/>
    </row>
    <row r="866">
      <c r="A866" s="11"/>
      <c r="B866" s="11"/>
      <c r="C866" s="11"/>
      <c r="D866" s="11"/>
      <c r="E866" s="11"/>
    </row>
    <row r="867">
      <c r="A867" s="11"/>
      <c r="B867" s="11"/>
      <c r="C867" s="11"/>
      <c r="D867" s="11"/>
      <c r="E867" s="11"/>
    </row>
    <row r="868">
      <c r="A868" s="11"/>
      <c r="B868" s="11"/>
      <c r="C868" s="11"/>
      <c r="D868" s="11"/>
      <c r="E868" s="11"/>
    </row>
    <row r="869">
      <c r="A869" s="11"/>
      <c r="B869" s="11"/>
      <c r="C869" s="11"/>
      <c r="D869" s="11"/>
      <c r="E869" s="11"/>
    </row>
    <row r="870">
      <c r="A870" s="11"/>
      <c r="B870" s="11"/>
      <c r="C870" s="11"/>
      <c r="D870" s="11"/>
      <c r="E870" s="11"/>
    </row>
    <row r="871">
      <c r="A871" s="11"/>
      <c r="B871" s="11"/>
      <c r="C871" s="11"/>
      <c r="D871" s="11"/>
      <c r="E871" s="11"/>
    </row>
    <row r="872">
      <c r="A872" s="11"/>
      <c r="B872" s="11"/>
      <c r="C872" s="11"/>
      <c r="D872" s="11"/>
      <c r="E872" s="11"/>
    </row>
    <row r="873">
      <c r="A873" s="11"/>
      <c r="B873" s="11"/>
      <c r="C873" s="11"/>
      <c r="D873" s="11"/>
      <c r="E873" s="11"/>
    </row>
    <row r="874">
      <c r="A874" s="11"/>
      <c r="B874" s="11"/>
      <c r="C874" s="11"/>
      <c r="D874" s="11"/>
      <c r="E874" s="11"/>
    </row>
    <row r="875">
      <c r="A875" s="11"/>
      <c r="B875" s="11"/>
      <c r="C875" s="11"/>
      <c r="D875" s="11"/>
      <c r="E875" s="11"/>
    </row>
    <row r="876">
      <c r="A876" s="11"/>
      <c r="B876" s="11"/>
      <c r="C876" s="11"/>
      <c r="D876" s="11"/>
      <c r="E876" s="11"/>
    </row>
    <row r="877">
      <c r="A877" s="11"/>
      <c r="B877" s="11"/>
      <c r="C877" s="11"/>
      <c r="D877" s="11"/>
      <c r="E877" s="11"/>
    </row>
    <row r="878">
      <c r="A878" s="11"/>
      <c r="B878" s="11"/>
      <c r="C878" s="11"/>
      <c r="D878" s="11"/>
      <c r="E878" s="11"/>
    </row>
    <row r="879">
      <c r="A879" s="11"/>
      <c r="B879" s="11"/>
      <c r="C879" s="11"/>
      <c r="D879" s="11"/>
      <c r="E879" s="11"/>
    </row>
    <row r="880">
      <c r="A880" s="11"/>
      <c r="B880" s="11"/>
      <c r="C880" s="11"/>
      <c r="D880" s="11"/>
      <c r="E880" s="11"/>
    </row>
    <row r="881">
      <c r="A881" s="11"/>
      <c r="B881" s="11"/>
      <c r="C881" s="11"/>
      <c r="D881" s="11"/>
      <c r="E881" s="11"/>
    </row>
    <row r="882">
      <c r="A882" s="11"/>
      <c r="B882" s="11"/>
      <c r="C882" s="11"/>
      <c r="D882" s="11"/>
      <c r="E882" s="11"/>
    </row>
    <row r="883">
      <c r="A883" s="11"/>
      <c r="B883" s="11"/>
      <c r="C883" s="11"/>
      <c r="D883" s="11"/>
      <c r="E883" s="11"/>
    </row>
    <row r="884">
      <c r="A884" s="11"/>
      <c r="B884" s="11"/>
      <c r="C884" s="11"/>
      <c r="D884" s="11"/>
      <c r="E884" s="11"/>
    </row>
    <row r="885">
      <c r="A885" s="11"/>
      <c r="B885" s="11"/>
      <c r="C885" s="11"/>
      <c r="D885" s="11"/>
      <c r="E885" s="11"/>
    </row>
    <row r="886">
      <c r="A886" s="11"/>
      <c r="B886" s="11"/>
      <c r="C886" s="11"/>
      <c r="D886" s="11"/>
      <c r="E886" s="11"/>
    </row>
    <row r="887">
      <c r="A887" s="11"/>
      <c r="B887" s="11"/>
      <c r="C887" s="11"/>
      <c r="D887" s="11"/>
      <c r="E887" s="11"/>
    </row>
    <row r="888">
      <c r="A888" s="11"/>
      <c r="B888" s="11"/>
      <c r="C888" s="11"/>
      <c r="D888" s="11"/>
      <c r="E888" s="11"/>
    </row>
    <row r="889">
      <c r="A889" s="11"/>
      <c r="B889" s="11"/>
      <c r="C889" s="11"/>
      <c r="D889" s="11"/>
      <c r="E889" s="11"/>
    </row>
    <row r="890">
      <c r="A890" s="11"/>
      <c r="B890" s="11"/>
      <c r="C890" s="11"/>
      <c r="D890" s="11"/>
      <c r="E890" s="11"/>
    </row>
    <row r="891">
      <c r="A891" s="11"/>
      <c r="B891" s="11"/>
      <c r="C891" s="11"/>
      <c r="D891" s="11"/>
      <c r="E891" s="11"/>
    </row>
    <row r="892">
      <c r="A892" s="11"/>
      <c r="B892" s="11"/>
      <c r="C892" s="11"/>
      <c r="D892" s="11"/>
      <c r="E892" s="11"/>
    </row>
    <row r="893">
      <c r="A893" s="11"/>
      <c r="B893" s="11"/>
      <c r="C893" s="11"/>
      <c r="D893" s="11"/>
      <c r="E893" s="11"/>
    </row>
    <row r="894">
      <c r="A894" s="11"/>
      <c r="B894" s="11"/>
      <c r="C894" s="11"/>
      <c r="D894" s="11"/>
      <c r="E894" s="11"/>
    </row>
    <row r="895">
      <c r="A895" s="11"/>
      <c r="B895" s="11"/>
      <c r="C895" s="11"/>
      <c r="D895" s="11"/>
      <c r="E895" s="11"/>
    </row>
    <row r="896">
      <c r="A896" s="11"/>
      <c r="B896" s="11"/>
      <c r="C896" s="11"/>
      <c r="D896" s="11"/>
      <c r="E896" s="11"/>
    </row>
    <row r="897">
      <c r="A897" s="11"/>
      <c r="B897" s="11"/>
      <c r="C897" s="11"/>
      <c r="D897" s="11"/>
      <c r="E897" s="11"/>
    </row>
    <row r="898">
      <c r="A898" s="11"/>
      <c r="B898" s="11"/>
      <c r="C898" s="11"/>
      <c r="D898" s="11"/>
      <c r="E898" s="11"/>
    </row>
    <row r="899">
      <c r="A899" s="11"/>
      <c r="B899" s="11"/>
      <c r="C899" s="11"/>
      <c r="D899" s="11"/>
      <c r="E899" s="11"/>
    </row>
    <row r="900">
      <c r="A900" s="11"/>
      <c r="B900" s="11"/>
      <c r="C900" s="11"/>
      <c r="D900" s="11"/>
      <c r="E900" s="11"/>
    </row>
    <row r="901">
      <c r="A901" s="11"/>
      <c r="B901" s="11"/>
      <c r="C901" s="11"/>
      <c r="D901" s="11"/>
      <c r="E901" s="11"/>
    </row>
    <row r="902">
      <c r="A902" s="11"/>
      <c r="B902" s="11"/>
      <c r="C902" s="11"/>
      <c r="D902" s="11"/>
      <c r="E902" s="11"/>
    </row>
    <row r="903">
      <c r="A903" s="11"/>
      <c r="B903" s="11"/>
      <c r="C903" s="11"/>
      <c r="D903" s="11"/>
      <c r="E903" s="11"/>
    </row>
    <row r="904">
      <c r="A904" s="11"/>
      <c r="B904" s="11"/>
      <c r="C904" s="11"/>
      <c r="D904" s="11"/>
      <c r="E904" s="11"/>
    </row>
    <row r="905">
      <c r="A905" s="11"/>
      <c r="B905" s="11"/>
      <c r="C905" s="11"/>
      <c r="D905" s="11"/>
      <c r="E905" s="11"/>
    </row>
    <row r="906">
      <c r="A906" s="11"/>
      <c r="B906" s="11"/>
      <c r="C906" s="11"/>
      <c r="D906" s="11"/>
      <c r="E906" s="11"/>
    </row>
    <row r="907">
      <c r="A907" s="11"/>
      <c r="B907" s="11"/>
      <c r="C907" s="11"/>
      <c r="D907" s="11"/>
      <c r="E907" s="11"/>
    </row>
    <row r="908">
      <c r="A908" s="11"/>
      <c r="B908" s="11"/>
      <c r="C908" s="11"/>
      <c r="D908" s="11"/>
      <c r="E908" s="11"/>
    </row>
    <row r="909">
      <c r="A909" s="11"/>
      <c r="B909" s="11"/>
      <c r="C909" s="11"/>
      <c r="D909" s="11"/>
      <c r="E909" s="11"/>
    </row>
    <row r="910">
      <c r="A910" s="11"/>
      <c r="B910" s="11"/>
      <c r="C910" s="11"/>
      <c r="D910" s="11"/>
      <c r="E910" s="11"/>
    </row>
    <row r="911">
      <c r="A911" s="11"/>
      <c r="B911" s="11"/>
      <c r="C911" s="11"/>
      <c r="D911" s="11"/>
      <c r="E911" s="11"/>
    </row>
    <row r="912">
      <c r="A912" s="11"/>
      <c r="B912" s="11"/>
      <c r="C912" s="11"/>
      <c r="D912" s="11"/>
      <c r="E912" s="11"/>
    </row>
    <row r="913">
      <c r="A913" s="11"/>
      <c r="B913" s="11"/>
      <c r="C913" s="11"/>
      <c r="D913" s="11"/>
      <c r="E913" s="11"/>
    </row>
    <row r="914">
      <c r="A914" s="11"/>
      <c r="B914" s="11"/>
      <c r="C914" s="11"/>
      <c r="D914" s="11"/>
      <c r="E914" s="11"/>
    </row>
    <row r="915">
      <c r="A915" s="11"/>
      <c r="B915" s="11"/>
      <c r="C915" s="11"/>
      <c r="D915" s="11"/>
      <c r="E915" s="11"/>
    </row>
    <row r="916">
      <c r="A916" s="11"/>
      <c r="B916" s="11"/>
      <c r="C916" s="11"/>
      <c r="D916" s="11"/>
      <c r="E916" s="11"/>
    </row>
    <row r="917">
      <c r="A917" s="11"/>
      <c r="B917" s="11"/>
      <c r="C917" s="11"/>
      <c r="D917" s="11"/>
      <c r="E917" s="11"/>
    </row>
    <row r="918">
      <c r="A918" s="11"/>
      <c r="B918" s="11"/>
      <c r="C918" s="11"/>
      <c r="D918" s="11"/>
      <c r="E918" s="11"/>
    </row>
    <row r="919">
      <c r="A919" s="11"/>
      <c r="B919" s="11"/>
      <c r="C919" s="11"/>
      <c r="D919" s="11"/>
      <c r="E919" s="11"/>
    </row>
    <row r="920">
      <c r="A920" s="11"/>
      <c r="B920" s="11"/>
      <c r="C920" s="11"/>
      <c r="D920" s="11"/>
      <c r="E920" s="11"/>
    </row>
    <row r="921">
      <c r="A921" s="11"/>
      <c r="B921" s="11"/>
      <c r="C921" s="11"/>
      <c r="D921" s="11"/>
      <c r="E921" s="11"/>
    </row>
    <row r="922">
      <c r="A922" s="11"/>
      <c r="B922" s="11"/>
      <c r="C922" s="11"/>
      <c r="D922" s="11"/>
      <c r="E922" s="11"/>
    </row>
    <row r="923">
      <c r="A923" s="11"/>
      <c r="B923" s="11"/>
      <c r="C923" s="11"/>
      <c r="D923" s="11"/>
      <c r="E923" s="11"/>
    </row>
    <row r="924">
      <c r="A924" s="11"/>
      <c r="B924" s="11"/>
      <c r="C924" s="11"/>
      <c r="D924" s="11"/>
      <c r="E924" s="11"/>
    </row>
    <row r="925">
      <c r="A925" s="11"/>
      <c r="B925" s="11"/>
      <c r="C925" s="11"/>
      <c r="D925" s="11"/>
      <c r="E925" s="11"/>
    </row>
    <row r="926">
      <c r="A926" s="11"/>
      <c r="B926" s="11"/>
      <c r="C926" s="11"/>
      <c r="D926" s="11"/>
      <c r="E926" s="11"/>
    </row>
    <row r="927">
      <c r="A927" s="11"/>
      <c r="B927" s="11"/>
      <c r="C927" s="11"/>
      <c r="D927" s="11"/>
      <c r="E927" s="11"/>
    </row>
    <row r="928">
      <c r="A928" s="11"/>
      <c r="B928" s="11"/>
      <c r="C928" s="11"/>
      <c r="D928" s="11"/>
      <c r="E928" s="11"/>
    </row>
    <row r="929">
      <c r="A929" s="11"/>
      <c r="B929" s="11"/>
      <c r="C929" s="11"/>
      <c r="D929" s="11"/>
      <c r="E929" s="11"/>
    </row>
    <row r="930">
      <c r="A930" s="11"/>
      <c r="B930" s="11"/>
      <c r="C930" s="11"/>
      <c r="D930" s="11"/>
      <c r="E930" s="11"/>
    </row>
    <row r="931">
      <c r="A931" s="11"/>
      <c r="B931" s="11"/>
      <c r="C931" s="11"/>
      <c r="D931" s="11"/>
      <c r="E931" s="11"/>
    </row>
    <row r="932">
      <c r="A932" s="11"/>
      <c r="B932" s="11"/>
      <c r="C932" s="11"/>
      <c r="D932" s="11"/>
      <c r="E932" s="11"/>
    </row>
    <row r="933">
      <c r="A933" s="11"/>
      <c r="B933" s="11"/>
      <c r="C933" s="11"/>
      <c r="D933" s="11"/>
      <c r="E933" s="11"/>
    </row>
    <row r="934">
      <c r="A934" s="11"/>
      <c r="B934" s="11"/>
      <c r="C934" s="11"/>
      <c r="D934" s="11"/>
      <c r="E934" s="11"/>
    </row>
    <row r="935">
      <c r="A935" s="11"/>
      <c r="B935" s="11"/>
      <c r="C935" s="11"/>
      <c r="D935" s="11"/>
      <c r="E935" s="11"/>
    </row>
    <row r="936">
      <c r="A936" s="11"/>
      <c r="B936" s="11"/>
      <c r="C936" s="11"/>
      <c r="D936" s="11"/>
      <c r="E936" s="11"/>
    </row>
    <row r="937">
      <c r="A937" s="11"/>
      <c r="B937" s="11"/>
      <c r="C937" s="11"/>
      <c r="D937" s="11"/>
      <c r="E937" s="11"/>
    </row>
    <row r="938">
      <c r="A938" s="11"/>
      <c r="B938" s="11"/>
      <c r="C938" s="11"/>
      <c r="D938" s="11"/>
      <c r="E938" s="11"/>
    </row>
    <row r="939">
      <c r="A939" s="11"/>
      <c r="B939" s="11"/>
      <c r="C939" s="11"/>
      <c r="D939" s="11"/>
      <c r="E939" s="11"/>
    </row>
    <row r="940">
      <c r="A940" s="11"/>
      <c r="B940" s="11"/>
      <c r="C940" s="11"/>
      <c r="D940" s="11"/>
      <c r="E940" s="11"/>
    </row>
    <row r="941">
      <c r="A941" s="11"/>
      <c r="B941" s="11"/>
      <c r="C941" s="11"/>
      <c r="D941" s="11"/>
      <c r="E941" s="11"/>
    </row>
    <row r="942">
      <c r="A942" s="11"/>
      <c r="B942" s="11"/>
      <c r="C942" s="11"/>
      <c r="D942" s="11"/>
      <c r="E942" s="11"/>
    </row>
    <row r="943">
      <c r="A943" s="11"/>
      <c r="B943" s="11"/>
      <c r="C943" s="11"/>
      <c r="D943" s="11"/>
      <c r="E943" s="11"/>
    </row>
    <row r="944">
      <c r="A944" s="11"/>
      <c r="B944" s="11"/>
      <c r="C944" s="11"/>
      <c r="D944" s="11"/>
      <c r="E944" s="11"/>
    </row>
    <row r="945">
      <c r="A945" s="11"/>
      <c r="B945" s="11"/>
      <c r="C945" s="11"/>
      <c r="D945" s="11"/>
      <c r="E945" s="11"/>
    </row>
    <row r="946">
      <c r="A946" s="11"/>
      <c r="B946" s="11"/>
      <c r="C946" s="11"/>
      <c r="D946" s="11"/>
      <c r="E946" s="11"/>
    </row>
    <row r="947">
      <c r="A947" s="11"/>
      <c r="B947" s="11"/>
      <c r="C947" s="11"/>
      <c r="D947" s="11"/>
      <c r="E947" s="11"/>
    </row>
    <row r="948">
      <c r="A948" s="11"/>
      <c r="B948" s="11"/>
      <c r="C948" s="11"/>
      <c r="D948" s="11"/>
      <c r="E948" s="11"/>
    </row>
    <row r="949">
      <c r="A949" s="11"/>
      <c r="B949" s="11"/>
      <c r="C949" s="11"/>
      <c r="D949" s="11"/>
      <c r="E949" s="11"/>
    </row>
    <row r="950">
      <c r="A950" s="11"/>
      <c r="B950" s="11"/>
      <c r="C950" s="11"/>
      <c r="D950" s="11"/>
      <c r="E950" s="11"/>
    </row>
    <row r="951">
      <c r="A951" s="11"/>
      <c r="B951" s="11"/>
      <c r="C951" s="11"/>
      <c r="D951" s="11"/>
      <c r="E951" s="11"/>
    </row>
    <row r="952">
      <c r="A952" s="11"/>
      <c r="B952" s="11"/>
      <c r="C952" s="11"/>
      <c r="D952" s="11"/>
      <c r="E952" s="11"/>
    </row>
    <row r="953">
      <c r="A953" s="11"/>
      <c r="B953" s="11"/>
      <c r="C953" s="11"/>
      <c r="D953" s="11"/>
      <c r="E953" s="11"/>
    </row>
    <row r="954">
      <c r="A954" s="11"/>
      <c r="B954" s="11"/>
      <c r="C954" s="11"/>
      <c r="D954" s="11"/>
      <c r="E954" s="11"/>
    </row>
    <row r="955">
      <c r="A955" s="11"/>
      <c r="B955" s="11"/>
      <c r="C955" s="11"/>
      <c r="D955" s="11"/>
      <c r="E955" s="11"/>
    </row>
    <row r="956">
      <c r="A956" s="11"/>
      <c r="B956" s="11"/>
      <c r="C956" s="11"/>
      <c r="D956" s="11"/>
      <c r="E956" s="11"/>
    </row>
    <row r="957">
      <c r="A957" s="11"/>
      <c r="B957" s="11"/>
      <c r="C957" s="11"/>
      <c r="D957" s="11"/>
      <c r="E957" s="11"/>
    </row>
    <row r="958">
      <c r="A958" s="11"/>
      <c r="B958" s="11"/>
      <c r="C958" s="11"/>
      <c r="D958" s="11"/>
      <c r="E958" s="11"/>
    </row>
    <row r="959">
      <c r="A959" s="11"/>
      <c r="B959" s="11"/>
      <c r="C959" s="11"/>
      <c r="D959" s="11"/>
      <c r="E959" s="11"/>
    </row>
    <row r="960">
      <c r="A960" s="11"/>
      <c r="B960" s="11"/>
      <c r="C960" s="11"/>
      <c r="D960" s="11"/>
      <c r="E960" s="11"/>
    </row>
    <row r="961">
      <c r="A961" s="11"/>
      <c r="B961" s="11"/>
      <c r="C961" s="11"/>
      <c r="D961" s="11"/>
      <c r="E961" s="11"/>
    </row>
    <row r="962">
      <c r="A962" s="11"/>
      <c r="B962" s="11"/>
      <c r="C962" s="11"/>
      <c r="D962" s="11"/>
      <c r="E962" s="11"/>
    </row>
    <row r="963">
      <c r="A963" s="11"/>
      <c r="B963" s="11"/>
      <c r="C963" s="11"/>
      <c r="D963" s="11"/>
      <c r="E963" s="11"/>
    </row>
    <row r="964">
      <c r="A964" s="11"/>
      <c r="B964" s="11"/>
      <c r="C964" s="11"/>
      <c r="D964" s="11"/>
      <c r="E964" s="11"/>
    </row>
    <row r="965">
      <c r="A965" s="11"/>
      <c r="B965" s="11"/>
      <c r="C965" s="11"/>
      <c r="D965" s="11"/>
      <c r="E965" s="11"/>
    </row>
    <row r="966">
      <c r="A966" s="11"/>
      <c r="B966" s="11"/>
      <c r="C966" s="11"/>
      <c r="D966" s="11"/>
      <c r="E966" s="11"/>
    </row>
    <row r="967">
      <c r="A967" s="11"/>
      <c r="B967" s="11"/>
      <c r="C967" s="11"/>
      <c r="D967" s="11"/>
      <c r="E967" s="11"/>
    </row>
    <row r="968">
      <c r="A968" s="11"/>
      <c r="B968" s="11"/>
      <c r="C968" s="11"/>
      <c r="D968" s="11"/>
      <c r="E968" s="11"/>
    </row>
    <row r="969">
      <c r="A969" s="11"/>
      <c r="B969" s="11"/>
      <c r="C969" s="11"/>
      <c r="D969" s="11"/>
      <c r="E969" s="11"/>
    </row>
    <row r="970">
      <c r="A970" s="11"/>
      <c r="B970" s="11"/>
      <c r="C970" s="11"/>
      <c r="D970" s="11"/>
      <c r="E970" s="11"/>
    </row>
    <row r="971">
      <c r="A971" s="11"/>
      <c r="B971" s="11"/>
      <c r="C971" s="11"/>
      <c r="D971" s="11"/>
      <c r="E971" s="11"/>
    </row>
    <row r="972">
      <c r="A972" s="11"/>
      <c r="B972" s="11"/>
      <c r="C972" s="11"/>
      <c r="D972" s="11"/>
      <c r="E972" s="11"/>
    </row>
    <row r="973">
      <c r="A973" s="11"/>
      <c r="B973" s="11"/>
      <c r="C973" s="11"/>
      <c r="D973" s="11"/>
      <c r="E973" s="11"/>
    </row>
    <row r="974">
      <c r="A974" s="11"/>
      <c r="B974" s="11"/>
      <c r="C974" s="11"/>
      <c r="D974" s="11"/>
      <c r="E974" s="11"/>
    </row>
    <row r="975">
      <c r="A975" s="11"/>
      <c r="B975" s="11"/>
      <c r="C975" s="11"/>
      <c r="D975" s="11"/>
      <c r="E975" s="11"/>
    </row>
    <row r="976">
      <c r="A976" s="11"/>
      <c r="B976" s="11"/>
      <c r="C976" s="11"/>
      <c r="D976" s="11"/>
      <c r="E976" s="11"/>
    </row>
    <row r="977">
      <c r="A977" s="11"/>
      <c r="B977" s="11"/>
      <c r="C977" s="11"/>
      <c r="D977" s="11"/>
      <c r="E977" s="11"/>
    </row>
    <row r="978">
      <c r="A978" s="11"/>
      <c r="B978" s="11"/>
      <c r="C978" s="11"/>
      <c r="D978" s="11"/>
      <c r="E978" s="11"/>
    </row>
    <row r="979">
      <c r="A979" s="11"/>
      <c r="B979" s="11"/>
      <c r="C979" s="11"/>
      <c r="D979" s="11"/>
      <c r="E979" s="11"/>
    </row>
    <row r="980">
      <c r="A980" s="11"/>
      <c r="B980" s="11"/>
      <c r="C980" s="11"/>
      <c r="D980" s="11"/>
      <c r="E980" s="11"/>
    </row>
    <row r="981">
      <c r="A981" s="11"/>
      <c r="B981" s="11"/>
      <c r="C981" s="11"/>
      <c r="D981" s="11"/>
      <c r="E981" s="11"/>
    </row>
    <row r="982">
      <c r="A982" s="11"/>
      <c r="B982" s="11"/>
      <c r="C982" s="11"/>
      <c r="D982" s="11"/>
      <c r="E982" s="11"/>
    </row>
    <row r="983">
      <c r="A983" s="11"/>
      <c r="B983" s="11"/>
      <c r="C983" s="11"/>
      <c r="D983" s="11"/>
      <c r="E983" s="11"/>
    </row>
    <row r="984">
      <c r="A984" s="11"/>
      <c r="B984" s="11"/>
      <c r="C984" s="11"/>
      <c r="D984" s="11"/>
      <c r="E984" s="11"/>
    </row>
    <row r="985">
      <c r="A985" s="11"/>
      <c r="B985" s="11"/>
      <c r="C985" s="11"/>
      <c r="D985" s="11"/>
      <c r="E985" s="11"/>
    </row>
    <row r="986">
      <c r="A986" s="11"/>
      <c r="B986" s="11"/>
      <c r="C986" s="11"/>
      <c r="D986" s="11"/>
      <c r="E986" s="11"/>
    </row>
    <row r="987">
      <c r="A987" s="11"/>
      <c r="B987" s="11"/>
      <c r="C987" s="11"/>
      <c r="D987" s="11"/>
      <c r="E987" s="11"/>
    </row>
    <row r="988">
      <c r="A988" s="11"/>
      <c r="B988" s="11"/>
      <c r="C988" s="11"/>
      <c r="D988" s="11"/>
      <c r="E988" s="11"/>
    </row>
    <row r="989">
      <c r="A989" s="11"/>
      <c r="B989" s="11"/>
      <c r="C989" s="11"/>
      <c r="D989" s="11"/>
      <c r="E989" s="11"/>
    </row>
    <row r="990">
      <c r="A990" s="11"/>
      <c r="B990" s="11"/>
      <c r="C990" s="11"/>
      <c r="D990" s="11"/>
      <c r="E990" s="11"/>
    </row>
    <row r="991">
      <c r="A991" s="11"/>
      <c r="B991" s="11"/>
      <c r="C991" s="11"/>
      <c r="D991" s="11"/>
      <c r="E991" s="11"/>
    </row>
    <row r="992">
      <c r="A992" s="11"/>
      <c r="B992" s="11"/>
      <c r="C992" s="11"/>
      <c r="D992" s="11"/>
      <c r="E992" s="11"/>
    </row>
    <row r="993">
      <c r="A993" s="11"/>
      <c r="B993" s="11"/>
      <c r="C993" s="11"/>
      <c r="D993" s="11"/>
      <c r="E993" s="11"/>
    </row>
    <row r="994">
      <c r="A994" s="11"/>
      <c r="B994" s="11"/>
      <c r="C994" s="11"/>
      <c r="D994" s="11"/>
      <c r="E994" s="11"/>
    </row>
    <row r="995">
      <c r="A995" s="11"/>
      <c r="B995" s="11"/>
      <c r="C995" s="11"/>
      <c r="D995" s="11"/>
      <c r="E995" s="11"/>
    </row>
    <row r="996">
      <c r="A996" s="11"/>
      <c r="B996" s="11"/>
      <c r="C996" s="11"/>
      <c r="D996" s="11"/>
      <c r="E996" s="11"/>
    </row>
    <row r="997">
      <c r="A997" s="11"/>
      <c r="B997" s="11"/>
      <c r="C997" s="11"/>
      <c r="D997" s="11"/>
      <c r="E997" s="11"/>
    </row>
    <row r="998">
      <c r="A998" s="11"/>
      <c r="B998" s="11"/>
      <c r="C998" s="11"/>
      <c r="D998" s="11"/>
      <c r="E998" s="11"/>
    </row>
    <row r="999">
      <c r="A999" s="11"/>
      <c r="B999" s="11"/>
      <c r="C999" s="11"/>
      <c r="D999" s="11"/>
      <c r="E999" s="11"/>
    </row>
    <row r="1000">
      <c r="A1000" s="11"/>
      <c r="B1000" s="11"/>
      <c r="C1000" s="11"/>
      <c r="D1000" s="11"/>
      <c r="E1000" s="11"/>
    </row>
  </sheetData>
  <dataValidations>
    <dataValidation type="list" allowBlank="1" showErrorMessage="1" sqref="U2:U11">
      <formula1>"Common,Rare,Unique,Special"</formula1>
    </dataValidation>
    <dataValidation type="list" allowBlank="1" showErrorMessage="1" sqref="P2:P11">
      <formula1>"bleed,pierce,rupture,stun"</formula1>
    </dataValidation>
    <dataValidation type="list" allowBlank="1" showErrorMessage="1" sqref="D2:D11">
      <formula1>"Beast,Human,Infected,Machine"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3" max="3" width="17.5"/>
    <col customWidth="1" min="16" max="16" width="16.63"/>
    <col customWidth="1" min="17" max="17" width="14.75"/>
    <col customWidth="1" min="18" max="18" width="12.75"/>
    <col customWidth="1" min="22" max="22" width="14.75"/>
    <col customWidth="1" min="23" max="23" width="22.0"/>
  </cols>
  <sheetData>
    <row r="1">
      <c r="A1" s="3" t="s">
        <v>652</v>
      </c>
      <c r="B1" s="3" t="s">
        <v>653</v>
      </c>
      <c r="C1" s="3" t="s">
        <v>654</v>
      </c>
      <c r="D1" s="3" t="s">
        <v>210</v>
      </c>
      <c r="E1" s="1" t="s">
        <v>152</v>
      </c>
      <c r="F1" s="1" t="s">
        <v>598</v>
      </c>
      <c r="G1" s="1" t="s">
        <v>655</v>
      </c>
      <c r="H1" s="1" t="s">
        <v>656</v>
      </c>
      <c r="I1" s="1" t="s">
        <v>657</v>
      </c>
      <c r="J1" s="1" t="s">
        <v>658</v>
      </c>
      <c r="K1" s="1" t="s">
        <v>589</v>
      </c>
      <c r="L1" s="1" t="s">
        <v>108</v>
      </c>
      <c r="M1" s="1" t="s">
        <v>590</v>
      </c>
      <c r="N1" s="1" t="s">
        <v>290</v>
      </c>
      <c r="O1" s="1" t="s">
        <v>291</v>
      </c>
      <c r="P1" s="1" t="s">
        <v>659</v>
      </c>
      <c r="Q1" s="1" t="s">
        <v>660</v>
      </c>
      <c r="R1" s="1" t="s">
        <v>594</v>
      </c>
      <c r="S1" s="1" t="s">
        <v>286</v>
      </c>
      <c r="T1" s="1" t="s">
        <v>287</v>
      </c>
      <c r="U1" s="1" t="s">
        <v>288</v>
      </c>
      <c r="V1" s="1" t="s">
        <v>289</v>
      </c>
      <c r="W1" s="1" t="s">
        <v>3</v>
      </c>
      <c r="X1" s="1" t="s">
        <v>48</v>
      </c>
      <c r="Y1" s="1" t="s">
        <v>4</v>
      </c>
    </row>
    <row r="2">
      <c r="A2" s="3" t="s">
        <v>661</v>
      </c>
      <c r="B2" s="3" t="s">
        <v>662</v>
      </c>
      <c r="C2" s="3" t="s">
        <v>663</v>
      </c>
      <c r="D2" s="3" t="s">
        <v>664</v>
      </c>
      <c r="E2" s="1" t="s">
        <v>172</v>
      </c>
      <c r="F2" s="1" t="s">
        <v>665</v>
      </c>
      <c r="G2" s="1">
        <v>3.0</v>
      </c>
      <c r="H2" s="1">
        <v>5.0</v>
      </c>
      <c r="I2" s="1">
        <v>6.0</v>
      </c>
      <c r="J2" s="1">
        <v>10.0</v>
      </c>
      <c r="K2" s="1">
        <v>1.0</v>
      </c>
      <c r="L2" s="1">
        <v>4.0</v>
      </c>
      <c r="M2" s="1">
        <v>3.0</v>
      </c>
      <c r="N2" s="1">
        <v>40.0</v>
      </c>
      <c r="O2" s="1">
        <v>12.0</v>
      </c>
      <c r="P2" s="1" t="s">
        <v>221</v>
      </c>
      <c r="Q2" s="1" t="s">
        <v>221</v>
      </c>
      <c r="R2" s="1">
        <v>55.0</v>
      </c>
      <c r="S2" s="1">
        <v>1.0</v>
      </c>
      <c r="T2" s="1">
        <v>0.0</v>
      </c>
      <c r="U2" s="1">
        <v>0.0</v>
      </c>
      <c r="V2" s="1">
        <v>0.0</v>
      </c>
      <c r="W2" s="1" t="s">
        <v>7</v>
      </c>
      <c r="X2" s="1" t="s">
        <v>135</v>
      </c>
      <c r="Y2" s="2">
        <v>46210.0</v>
      </c>
    </row>
    <row r="3">
      <c r="A3" s="3" t="s">
        <v>666</v>
      </c>
      <c r="B3" s="3" t="s">
        <v>667</v>
      </c>
      <c r="C3" s="3" t="s">
        <v>668</v>
      </c>
      <c r="D3" s="3" t="s">
        <v>664</v>
      </c>
      <c r="E3" s="1" t="s">
        <v>164</v>
      </c>
      <c r="F3" s="1" t="s">
        <v>669</v>
      </c>
      <c r="G3" s="1">
        <v>1.0</v>
      </c>
      <c r="H3" s="1">
        <v>3.0</v>
      </c>
      <c r="I3" s="1">
        <v>3.0</v>
      </c>
      <c r="J3" s="1">
        <v>6.0</v>
      </c>
      <c r="K3" s="1">
        <v>1.3</v>
      </c>
      <c r="L3" s="1">
        <v>3.0</v>
      </c>
      <c r="M3" s="1">
        <v>2.0</v>
      </c>
      <c r="N3" s="1">
        <v>30.0</v>
      </c>
      <c r="O3" s="1">
        <v>15.0</v>
      </c>
      <c r="P3" s="1" t="s">
        <v>221</v>
      </c>
      <c r="Q3" s="1" t="s">
        <v>221</v>
      </c>
      <c r="R3" s="1">
        <v>35.0</v>
      </c>
      <c r="S3" s="1">
        <v>0.0</v>
      </c>
      <c r="T3" s="1">
        <v>1.0</v>
      </c>
      <c r="U3" s="1">
        <v>0.0</v>
      </c>
      <c r="V3" s="1">
        <v>0.0</v>
      </c>
      <c r="W3" s="1" t="s">
        <v>7</v>
      </c>
      <c r="X3" s="1" t="s">
        <v>670</v>
      </c>
      <c r="Y3" s="2">
        <v>46210.0</v>
      </c>
    </row>
    <row r="4">
      <c r="A4" s="3" t="s">
        <v>671</v>
      </c>
      <c r="B4" s="3" t="s">
        <v>672</v>
      </c>
      <c r="C4" s="3" t="s">
        <v>673</v>
      </c>
      <c r="D4" s="3" t="s">
        <v>664</v>
      </c>
      <c r="E4" s="1" t="s">
        <v>179</v>
      </c>
      <c r="F4" s="1" t="s">
        <v>665</v>
      </c>
      <c r="G4" s="1">
        <v>6.0</v>
      </c>
      <c r="H4" s="1">
        <v>9.0</v>
      </c>
      <c r="I4" s="1">
        <v>12.0</v>
      </c>
      <c r="J4" s="1">
        <v>18.0</v>
      </c>
      <c r="K4" s="1">
        <v>0.9</v>
      </c>
      <c r="L4" s="1">
        <v>3.0</v>
      </c>
      <c r="M4" s="1">
        <v>5.0</v>
      </c>
      <c r="N4" s="1">
        <v>50.0</v>
      </c>
      <c r="O4" s="1">
        <v>6.0</v>
      </c>
      <c r="P4" s="1" t="s">
        <v>674</v>
      </c>
      <c r="Q4" s="1" t="s">
        <v>221</v>
      </c>
      <c r="R4" s="1">
        <v>45.0</v>
      </c>
      <c r="S4" s="1">
        <v>0.0</v>
      </c>
      <c r="T4" s="1">
        <v>1.0</v>
      </c>
      <c r="U4" s="1">
        <v>0.0</v>
      </c>
      <c r="V4" s="1">
        <v>0.0</v>
      </c>
      <c r="W4" s="1" t="s">
        <v>7</v>
      </c>
      <c r="X4" s="1" t="s">
        <v>141</v>
      </c>
      <c r="Y4" s="2">
        <v>46210.0</v>
      </c>
    </row>
    <row r="5">
      <c r="A5" s="3" t="s">
        <v>675</v>
      </c>
      <c r="B5" s="3" t="s">
        <v>676</v>
      </c>
      <c r="C5" s="3" t="s">
        <v>677</v>
      </c>
      <c r="D5" s="3" t="s">
        <v>664</v>
      </c>
      <c r="E5" s="1" t="s">
        <v>185</v>
      </c>
      <c r="F5" s="1" t="s">
        <v>665</v>
      </c>
      <c r="G5" s="1">
        <v>8.0</v>
      </c>
      <c r="H5" s="1">
        <v>12.0</v>
      </c>
      <c r="I5" s="1">
        <v>16.0</v>
      </c>
      <c r="J5" s="1">
        <v>24.0</v>
      </c>
      <c r="K5" s="1">
        <v>0.7</v>
      </c>
      <c r="L5" s="1">
        <v>2.0</v>
      </c>
      <c r="M5" s="1">
        <v>4.0</v>
      </c>
      <c r="N5" s="1">
        <v>55.0</v>
      </c>
      <c r="O5" s="1">
        <v>4.0</v>
      </c>
      <c r="P5" s="1" t="s">
        <v>221</v>
      </c>
      <c r="Q5" s="1" t="s">
        <v>221</v>
      </c>
      <c r="R5" s="1">
        <v>65.0</v>
      </c>
      <c r="S5" s="1">
        <v>1.0</v>
      </c>
      <c r="T5" s="1">
        <v>0.0</v>
      </c>
      <c r="U5" s="1">
        <v>1.0</v>
      </c>
      <c r="V5" s="1">
        <v>0.0</v>
      </c>
      <c r="W5" s="1" t="s">
        <v>7</v>
      </c>
      <c r="X5" s="1" t="s">
        <v>144</v>
      </c>
      <c r="Y5" s="2">
        <v>46210.0</v>
      </c>
    </row>
    <row r="6">
      <c r="A6" s="3" t="s">
        <v>678</v>
      </c>
      <c r="B6" s="3" t="s">
        <v>679</v>
      </c>
      <c r="C6" s="3" t="s">
        <v>680</v>
      </c>
      <c r="D6" s="3" t="s">
        <v>664</v>
      </c>
      <c r="E6" s="1" t="s">
        <v>164</v>
      </c>
      <c r="F6" s="1" t="s">
        <v>665</v>
      </c>
      <c r="G6" s="1">
        <v>4.0</v>
      </c>
      <c r="H6" s="1">
        <v>6.0</v>
      </c>
      <c r="I6" s="1">
        <v>8.0</v>
      </c>
      <c r="J6" s="1">
        <v>12.0</v>
      </c>
      <c r="K6" s="1">
        <v>1.1</v>
      </c>
      <c r="L6" s="1">
        <v>5.0</v>
      </c>
      <c r="M6" s="1">
        <v>4.0</v>
      </c>
      <c r="N6" s="1">
        <v>45.0</v>
      </c>
      <c r="O6" s="1">
        <v>9.0</v>
      </c>
      <c r="P6" s="1" t="s">
        <v>231</v>
      </c>
      <c r="Q6" s="1" t="s">
        <v>674</v>
      </c>
      <c r="R6" s="1">
        <v>50.0</v>
      </c>
      <c r="S6" s="1">
        <v>1.0</v>
      </c>
      <c r="T6" s="1">
        <v>0.0</v>
      </c>
      <c r="U6" s="1">
        <v>0.0</v>
      </c>
      <c r="V6" s="1">
        <v>0.0</v>
      </c>
      <c r="W6" s="1" t="s">
        <v>7</v>
      </c>
      <c r="X6" s="1" t="s">
        <v>681</v>
      </c>
      <c r="Y6" s="2">
        <v>46210.0</v>
      </c>
    </row>
    <row r="7">
      <c r="A7" s="3"/>
      <c r="B7" s="3"/>
      <c r="C7" s="3"/>
      <c r="D7" s="11"/>
    </row>
    <row r="8">
      <c r="A8" s="11"/>
      <c r="B8" s="11"/>
      <c r="C8" s="11"/>
      <c r="D8" s="11"/>
    </row>
    <row r="9">
      <c r="A9" s="11"/>
      <c r="B9" s="11"/>
      <c r="C9" s="11"/>
      <c r="D9" s="11"/>
    </row>
    <row r="10">
      <c r="A10" s="11"/>
      <c r="B10" s="11"/>
      <c r="C10" s="11"/>
      <c r="D10" s="11"/>
    </row>
    <row r="11">
      <c r="A11" s="11"/>
      <c r="B11" s="11"/>
      <c r="C11" s="11"/>
      <c r="D11" s="11"/>
    </row>
    <row r="12">
      <c r="A12" s="11"/>
      <c r="B12" s="11"/>
      <c r="C12" s="11"/>
      <c r="D12" s="11"/>
    </row>
    <row r="13">
      <c r="A13" s="11"/>
      <c r="B13" s="11"/>
      <c r="C13" s="11"/>
      <c r="D13" s="11"/>
    </row>
    <row r="14">
      <c r="A14" s="11"/>
      <c r="B14" s="11"/>
      <c r="C14" s="11"/>
      <c r="D14" s="11"/>
    </row>
    <row r="15">
      <c r="A15" s="11"/>
      <c r="B15" s="11"/>
      <c r="C15" s="11"/>
      <c r="D15" s="11"/>
    </row>
    <row r="16">
      <c r="A16" s="11"/>
      <c r="B16" s="11"/>
      <c r="C16" s="11"/>
      <c r="D16" s="11"/>
    </row>
    <row r="17">
      <c r="A17" s="11"/>
      <c r="B17" s="11"/>
      <c r="C17" s="11"/>
      <c r="D17" s="11"/>
    </row>
    <row r="18">
      <c r="A18" s="11"/>
      <c r="B18" s="11"/>
      <c r="C18" s="11"/>
      <c r="D18" s="11"/>
    </row>
    <row r="19">
      <c r="A19" s="11"/>
      <c r="B19" s="11"/>
      <c r="C19" s="11"/>
      <c r="D19" s="11"/>
    </row>
    <row r="20">
      <c r="A20" s="11"/>
      <c r="B20" s="11"/>
      <c r="C20" s="11"/>
      <c r="D20" s="11"/>
    </row>
    <row r="21">
      <c r="A21" s="11"/>
      <c r="B21" s="11"/>
      <c r="C21" s="11"/>
      <c r="D21" s="11"/>
    </row>
    <row r="22">
      <c r="A22" s="11"/>
      <c r="B22" s="11"/>
      <c r="C22" s="11"/>
      <c r="D22" s="11"/>
    </row>
    <row r="23">
      <c r="A23" s="11"/>
      <c r="B23" s="11"/>
      <c r="C23" s="11"/>
      <c r="D23" s="11"/>
    </row>
    <row r="24">
      <c r="A24" s="11"/>
      <c r="B24" s="11"/>
      <c r="C24" s="11"/>
      <c r="D24" s="11"/>
    </row>
    <row r="25">
      <c r="A25" s="11"/>
      <c r="B25" s="11"/>
      <c r="C25" s="11"/>
      <c r="D25" s="11"/>
    </row>
    <row r="26">
      <c r="A26" s="11"/>
      <c r="B26" s="11"/>
      <c r="C26" s="11"/>
      <c r="D26" s="11"/>
    </row>
    <row r="27">
      <c r="A27" s="11"/>
      <c r="B27" s="11"/>
      <c r="C27" s="11"/>
      <c r="D27" s="11"/>
    </row>
    <row r="28">
      <c r="A28" s="11"/>
      <c r="B28" s="11"/>
      <c r="C28" s="11"/>
      <c r="D28" s="11"/>
    </row>
    <row r="29">
      <c r="A29" s="11"/>
      <c r="B29" s="11"/>
      <c r="C29" s="11"/>
      <c r="D29" s="11"/>
    </row>
    <row r="30">
      <c r="A30" s="11"/>
      <c r="B30" s="11"/>
      <c r="C30" s="11"/>
      <c r="D30" s="11"/>
    </row>
    <row r="31">
      <c r="A31" s="11"/>
      <c r="B31" s="11"/>
      <c r="C31" s="11"/>
      <c r="D31" s="11"/>
    </row>
    <row r="32">
      <c r="A32" s="11"/>
      <c r="B32" s="11"/>
      <c r="C32" s="11"/>
      <c r="D32" s="11"/>
    </row>
    <row r="33">
      <c r="A33" s="11"/>
      <c r="B33" s="11"/>
      <c r="C33" s="11"/>
      <c r="D33" s="11"/>
    </row>
    <row r="34">
      <c r="A34" s="11"/>
      <c r="B34" s="11"/>
      <c r="C34" s="11"/>
      <c r="D34" s="11"/>
    </row>
    <row r="35">
      <c r="A35" s="11"/>
      <c r="B35" s="11"/>
      <c r="C35" s="11"/>
      <c r="D35" s="11"/>
    </row>
    <row r="36">
      <c r="A36" s="11"/>
      <c r="B36" s="11"/>
      <c r="C36" s="11"/>
      <c r="D36" s="11"/>
    </row>
    <row r="37">
      <c r="A37" s="11"/>
      <c r="B37" s="11"/>
      <c r="C37" s="11"/>
      <c r="D37" s="11"/>
    </row>
    <row r="38">
      <c r="A38" s="11"/>
      <c r="B38" s="11"/>
      <c r="C38" s="11"/>
      <c r="D38" s="11"/>
    </row>
    <row r="39">
      <c r="A39" s="11"/>
      <c r="B39" s="11"/>
      <c r="C39" s="11"/>
      <c r="D39" s="11"/>
    </row>
    <row r="40">
      <c r="A40" s="11"/>
      <c r="B40" s="11"/>
      <c r="C40" s="11"/>
      <c r="D40" s="11"/>
    </row>
    <row r="41">
      <c r="A41" s="11"/>
      <c r="B41" s="11"/>
      <c r="C41" s="11"/>
      <c r="D41" s="11"/>
    </row>
    <row r="42">
      <c r="A42" s="11"/>
      <c r="B42" s="11"/>
      <c r="C42" s="11"/>
      <c r="D42" s="11"/>
    </row>
    <row r="43">
      <c r="A43" s="11"/>
      <c r="B43" s="11"/>
      <c r="C43" s="11"/>
      <c r="D43" s="11"/>
    </row>
    <row r="44">
      <c r="A44" s="11"/>
      <c r="B44" s="11"/>
      <c r="C44" s="11"/>
      <c r="D44" s="11"/>
    </row>
    <row r="45">
      <c r="A45" s="11"/>
      <c r="B45" s="11"/>
      <c r="C45" s="11"/>
      <c r="D45" s="11"/>
    </row>
    <row r="46">
      <c r="A46" s="11"/>
      <c r="B46" s="11"/>
      <c r="C46" s="11"/>
      <c r="D46" s="11"/>
    </row>
    <row r="47">
      <c r="A47" s="11"/>
      <c r="B47" s="11"/>
      <c r="C47" s="11"/>
      <c r="D47" s="11"/>
    </row>
    <row r="48">
      <c r="A48" s="11"/>
      <c r="B48" s="11"/>
      <c r="C48" s="11"/>
      <c r="D48" s="11"/>
    </row>
    <row r="49">
      <c r="A49" s="11"/>
      <c r="B49" s="11"/>
      <c r="C49" s="11"/>
      <c r="D49" s="11"/>
    </row>
    <row r="50">
      <c r="A50" s="11"/>
      <c r="B50" s="11"/>
      <c r="C50" s="11"/>
      <c r="D50" s="11"/>
    </row>
    <row r="51">
      <c r="A51" s="11"/>
      <c r="B51" s="11"/>
      <c r="C51" s="11"/>
      <c r="D51" s="11"/>
    </row>
    <row r="52">
      <c r="A52" s="11"/>
      <c r="B52" s="11"/>
      <c r="C52" s="11"/>
      <c r="D52" s="11"/>
    </row>
    <row r="53">
      <c r="A53" s="11"/>
      <c r="B53" s="11"/>
      <c r="C53" s="11"/>
      <c r="D53" s="11"/>
    </row>
    <row r="54">
      <c r="A54" s="11"/>
      <c r="B54" s="11"/>
      <c r="C54" s="11"/>
      <c r="D54" s="11"/>
    </row>
    <row r="55">
      <c r="A55" s="11"/>
      <c r="B55" s="11"/>
      <c r="C55" s="11"/>
      <c r="D55" s="11"/>
    </row>
    <row r="56">
      <c r="A56" s="11"/>
      <c r="B56" s="11"/>
      <c r="C56" s="11"/>
      <c r="D56" s="11"/>
    </row>
    <row r="57">
      <c r="A57" s="11"/>
      <c r="B57" s="11"/>
      <c r="C57" s="11"/>
      <c r="D57" s="11"/>
    </row>
    <row r="58">
      <c r="A58" s="11"/>
      <c r="B58" s="11"/>
      <c r="C58" s="11"/>
      <c r="D58" s="11"/>
    </row>
    <row r="59">
      <c r="A59" s="11"/>
      <c r="B59" s="11"/>
      <c r="C59" s="11"/>
      <c r="D59" s="11"/>
    </row>
    <row r="60">
      <c r="A60" s="11"/>
      <c r="B60" s="11"/>
      <c r="C60" s="11"/>
      <c r="D60" s="11"/>
    </row>
    <row r="61">
      <c r="A61" s="11"/>
      <c r="B61" s="11"/>
      <c r="C61" s="11"/>
      <c r="D61" s="11"/>
    </row>
    <row r="62">
      <c r="A62" s="11"/>
      <c r="B62" s="11"/>
      <c r="C62" s="11"/>
      <c r="D62" s="11"/>
    </row>
    <row r="63">
      <c r="A63" s="11"/>
      <c r="B63" s="11"/>
      <c r="C63" s="11"/>
      <c r="D63" s="11"/>
    </row>
    <row r="64">
      <c r="A64" s="11"/>
      <c r="B64" s="11"/>
      <c r="C64" s="11"/>
      <c r="D64" s="11"/>
    </row>
    <row r="65">
      <c r="A65" s="11"/>
      <c r="B65" s="11"/>
      <c r="C65" s="11"/>
      <c r="D65" s="11"/>
    </row>
    <row r="66">
      <c r="A66" s="11"/>
      <c r="B66" s="11"/>
      <c r="C66" s="11"/>
      <c r="D66" s="11"/>
    </row>
    <row r="67">
      <c r="A67" s="11"/>
      <c r="B67" s="11"/>
      <c r="C67" s="11"/>
      <c r="D67" s="11"/>
    </row>
    <row r="68">
      <c r="A68" s="11"/>
      <c r="B68" s="11"/>
      <c r="C68" s="11"/>
      <c r="D68" s="11"/>
    </row>
    <row r="69">
      <c r="A69" s="11"/>
      <c r="B69" s="11"/>
      <c r="C69" s="11"/>
      <c r="D69" s="11"/>
    </row>
    <row r="70">
      <c r="A70" s="11"/>
      <c r="B70" s="11"/>
      <c r="C70" s="11"/>
      <c r="D70" s="11"/>
    </row>
    <row r="71">
      <c r="A71" s="11"/>
      <c r="B71" s="11"/>
      <c r="C71" s="11"/>
      <c r="D71" s="11"/>
    </row>
    <row r="72">
      <c r="A72" s="11"/>
      <c r="B72" s="11"/>
      <c r="C72" s="11"/>
      <c r="D72" s="11"/>
    </row>
    <row r="73">
      <c r="A73" s="11"/>
      <c r="B73" s="11"/>
      <c r="C73" s="11"/>
      <c r="D73" s="11"/>
    </row>
    <row r="74">
      <c r="A74" s="11"/>
      <c r="B74" s="11"/>
      <c r="C74" s="11"/>
      <c r="D74" s="11"/>
    </row>
    <row r="75">
      <c r="A75" s="11"/>
      <c r="B75" s="11"/>
      <c r="C75" s="11"/>
      <c r="D75" s="11"/>
    </row>
    <row r="76">
      <c r="A76" s="11"/>
      <c r="B76" s="11"/>
      <c r="C76" s="11"/>
      <c r="D76" s="11"/>
    </row>
    <row r="77">
      <c r="A77" s="11"/>
      <c r="B77" s="11"/>
      <c r="C77" s="11"/>
      <c r="D77" s="11"/>
    </row>
    <row r="78">
      <c r="A78" s="11"/>
      <c r="B78" s="11"/>
      <c r="C78" s="11"/>
      <c r="D78" s="11"/>
    </row>
    <row r="79">
      <c r="A79" s="11"/>
      <c r="B79" s="11"/>
      <c r="C79" s="11"/>
      <c r="D79" s="11"/>
    </row>
    <row r="80">
      <c r="A80" s="11"/>
      <c r="B80" s="11"/>
      <c r="C80" s="11"/>
      <c r="D80" s="11"/>
    </row>
    <row r="81">
      <c r="A81" s="11"/>
      <c r="B81" s="11"/>
      <c r="C81" s="11"/>
      <c r="D81" s="11"/>
    </row>
    <row r="82">
      <c r="A82" s="11"/>
      <c r="B82" s="11"/>
      <c r="C82" s="11"/>
      <c r="D82" s="11"/>
    </row>
    <row r="83">
      <c r="A83" s="11"/>
      <c r="B83" s="11"/>
      <c r="C83" s="11"/>
      <c r="D83" s="11"/>
    </row>
    <row r="84">
      <c r="A84" s="11"/>
      <c r="B84" s="11"/>
      <c r="C84" s="11"/>
      <c r="D84" s="11"/>
    </row>
    <row r="85">
      <c r="A85" s="11"/>
      <c r="B85" s="11"/>
      <c r="C85" s="11"/>
      <c r="D85" s="11"/>
    </row>
    <row r="86">
      <c r="A86" s="11"/>
      <c r="B86" s="11"/>
      <c r="C86" s="11"/>
      <c r="D86" s="11"/>
    </row>
    <row r="87">
      <c r="A87" s="11"/>
      <c r="B87" s="11"/>
      <c r="C87" s="11"/>
      <c r="D87" s="11"/>
    </row>
    <row r="88">
      <c r="A88" s="11"/>
      <c r="B88" s="11"/>
      <c r="C88" s="11"/>
      <c r="D88" s="11"/>
    </row>
    <row r="89">
      <c r="A89" s="11"/>
      <c r="B89" s="11"/>
      <c r="C89" s="11"/>
      <c r="D89" s="11"/>
    </row>
    <row r="90">
      <c r="A90" s="11"/>
      <c r="B90" s="11"/>
      <c r="C90" s="11"/>
      <c r="D90" s="11"/>
    </row>
    <row r="91">
      <c r="A91" s="11"/>
      <c r="B91" s="11"/>
      <c r="C91" s="11"/>
      <c r="D91" s="11"/>
    </row>
    <row r="92">
      <c r="A92" s="11"/>
      <c r="B92" s="11"/>
      <c r="C92" s="11"/>
      <c r="D92" s="11"/>
    </row>
    <row r="93">
      <c r="A93" s="11"/>
      <c r="B93" s="11"/>
      <c r="C93" s="11"/>
      <c r="D93" s="11"/>
    </row>
    <row r="94">
      <c r="A94" s="11"/>
      <c r="B94" s="11"/>
      <c r="C94" s="11"/>
      <c r="D94" s="11"/>
    </row>
    <row r="95">
      <c r="A95" s="11"/>
      <c r="B95" s="11"/>
      <c r="C95" s="11"/>
      <c r="D95" s="11"/>
    </row>
    <row r="96">
      <c r="A96" s="11"/>
      <c r="B96" s="11"/>
      <c r="C96" s="11"/>
      <c r="D96" s="11"/>
    </row>
    <row r="97">
      <c r="A97" s="11"/>
      <c r="B97" s="11"/>
      <c r="C97" s="11"/>
      <c r="D97" s="11"/>
    </row>
    <row r="98">
      <c r="A98" s="11"/>
      <c r="B98" s="11"/>
      <c r="C98" s="11"/>
      <c r="D98" s="11"/>
    </row>
    <row r="99">
      <c r="A99" s="11"/>
      <c r="B99" s="11"/>
      <c r="C99" s="11"/>
      <c r="D99" s="11"/>
    </row>
    <row r="100">
      <c r="A100" s="11"/>
      <c r="B100" s="11"/>
      <c r="C100" s="11"/>
      <c r="D100" s="11"/>
    </row>
    <row r="101">
      <c r="A101" s="11"/>
      <c r="B101" s="11"/>
      <c r="C101" s="11"/>
      <c r="D101" s="11"/>
    </row>
    <row r="102">
      <c r="A102" s="11"/>
      <c r="B102" s="11"/>
      <c r="C102" s="11"/>
      <c r="D102" s="11"/>
    </row>
    <row r="103">
      <c r="A103" s="11"/>
      <c r="B103" s="11"/>
      <c r="C103" s="11"/>
      <c r="D103" s="11"/>
    </row>
    <row r="104">
      <c r="A104" s="11"/>
      <c r="B104" s="11"/>
      <c r="C104" s="11"/>
      <c r="D104" s="11"/>
    </row>
    <row r="105">
      <c r="A105" s="11"/>
      <c r="B105" s="11"/>
      <c r="C105" s="11"/>
      <c r="D105" s="11"/>
    </row>
    <row r="106">
      <c r="A106" s="11"/>
      <c r="B106" s="11"/>
      <c r="C106" s="11"/>
      <c r="D106" s="11"/>
    </row>
    <row r="107">
      <c r="A107" s="11"/>
      <c r="B107" s="11"/>
      <c r="C107" s="11"/>
      <c r="D107" s="11"/>
    </row>
    <row r="108">
      <c r="A108" s="11"/>
      <c r="B108" s="11"/>
      <c r="C108" s="11"/>
      <c r="D108" s="11"/>
    </row>
    <row r="109">
      <c r="A109" s="11"/>
      <c r="B109" s="11"/>
      <c r="C109" s="11"/>
      <c r="D109" s="11"/>
    </row>
    <row r="110">
      <c r="A110" s="11"/>
      <c r="B110" s="11"/>
      <c r="C110" s="11"/>
      <c r="D110" s="11"/>
    </row>
    <row r="111">
      <c r="A111" s="11"/>
      <c r="B111" s="11"/>
      <c r="C111" s="11"/>
      <c r="D111" s="11"/>
    </row>
    <row r="112">
      <c r="A112" s="11"/>
      <c r="B112" s="11"/>
      <c r="C112" s="11"/>
      <c r="D112" s="11"/>
    </row>
    <row r="113">
      <c r="A113" s="11"/>
      <c r="B113" s="11"/>
      <c r="C113" s="11"/>
      <c r="D113" s="11"/>
    </row>
    <row r="114">
      <c r="A114" s="11"/>
      <c r="B114" s="11"/>
      <c r="C114" s="11"/>
      <c r="D114" s="11"/>
    </row>
    <row r="115">
      <c r="A115" s="11"/>
      <c r="B115" s="11"/>
      <c r="C115" s="11"/>
      <c r="D115" s="11"/>
    </row>
    <row r="116">
      <c r="A116" s="11"/>
      <c r="B116" s="11"/>
      <c r="C116" s="11"/>
      <c r="D116" s="11"/>
    </row>
    <row r="117">
      <c r="A117" s="11"/>
      <c r="B117" s="11"/>
      <c r="C117" s="11"/>
      <c r="D117" s="11"/>
    </row>
    <row r="118">
      <c r="A118" s="11"/>
      <c r="B118" s="11"/>
      <c r="C118" s="11"/>
      <c r="D118" s="11"/>
    </row>
    <row r="119">
      <c r="A119" s="11"/>
      <c r="B119" s="11"/>
      <c r="C119" s="11"/>
      <c r="D119" s="11"/>
    </row>
    <row r="120">
      <c r="A120" s="11"/>
      <c r="B120" s="11"/>
      <c r="C120" s="11"/>
      <c r="D120" s="11"/>
    </row>
    <row r="121">
      <c r="A121" s="11"/>
      <c r="B121" s="11"/>
      <c r="C121" s="11"/>
      <c r="D121" s="11"/>
    </row>
    <row r="122">
      <c r="A122" s="11"/>
      <c r="B122" s="11"/>
      <c r="C122" s="11"/>
      <c r="D122" s="11"/>
    </row>
    <row r="123">
      <c r="A123" s="11"/>
      <c r="B123" s="11"/>
      <c r="C123" s="11"/>
      <c r="D123" s="11"/>
    </row>
    <row r="124">
      <c r="A124" s="11"/>
      <c r="B124" s="11"/>
      <c r="C124" s="11"/>
      <c r="D124" s="11"/>
    </row>
    <row r="125">
      <c r="A125" s="11"/>
      <c r="B125" s="11"/>
      <c r="C125" s="11"/>
      <c r="D125" s="11"/>
    </row>
    <row r="126">
      <c r="A126" s="11"/>
      <c r="B126" s="11"/>
      <c r="C126" s="11"/>
      <c r="D126" s="11"/>
    </row>
    <row r="127">
      <c r="A127" s="11"/>
      <c r="B127" s="11"/>
      <c r="C127" s="11"/>
      <c r="D127" s="11"/>
    </row>
    <row r="128">
      <c r="A128" s="11"/>
      <c r="B128" s="11"/>
      <c r="C128" s="11"/>
      <c r="D128" s="11"/>
    </row>
    <row r="129">
      <c r="A129" s="11"/>
      <c r="B129" s="11"/>
      <c r="C129" s="11"/>
      <c r="D129" s="11"/>
    </row>
    <row r="130">
      <c r="A130" s="11"/>
      <c r="B130" s="11"/>
      <c r="C130" s="11"/>
      <c r="D130" s="11"/>
    </row>
    <row r="131">
      <c r="A131" s="11"/>
      <c r="B131" s="11"/>
      <c r="C131" s="11"/>
      <c r="D131" s="11"/>
    </row>
    <row r="132">
      <c r="A132" s="11"/>
      <c r="B132" s="11"/>
      <c r="C132" s="11"/>
      <c r="D132" s="11"/>
    </row>
    <row r="133">
      <c r="A133" s="11"/>
      <c r="B133" s="11"/>
      <c r="C133" s="11"/>
      <c r="D133" s="11"/>
    </row>
    <row r="134">
      <c r="A134" s="11"/>
      <c r="B134" s="11"/>
      <c r="C134" s="11"/>
      <c r="D134" s="11"/>
    </row>
    <row r="135">
      <c r="A135" s="11"/>
      <c r="B135" s="11"/>
      <c r="C135" s="11"/>
      <c r="D135" s="11"/>
    </row>
    <row r="136">
      <c r="A136" s="11"/>
      <c r="B136" s="11"/>
      <c r="C136" s="11"/>
      <c r="D136" s="11"/>
    </row>
    <row r="137">
      <c r="A137" s="11"/>
      <c r="B137" s="11"/>
      <c r="C137" s="11"/>
      <c r="D137" s="11"/>
    </row>
    <row r="138">
      <c r="A138" s="11"/>
      <c r="B138" s="11"/>
      <c r="C138" s="11"/>
      <c r="D138" s="11"/>
    </row>
    <row r="139">
      <c r="A139" s="11"/>
      <c r="B139" s="11"/>
      <c r="C139" s="11"/>
      <c r="D139" s="11"/>
    </row>
    <row r="140">
      <c r="A140" s="11"/>
      <c r="B140" s="11"/>
      <c r="C140" s="11"/>
      <c r="D140" s="11"/>
    </row>
    <row r="141">
      <c r="A141" s="11"/>
      <c r="B141" s="11"/>
      <c r="C141" s="11"/>
      <c r="D141" s="11"/>
    </row>
    <row r="142">
      <c r="A142" s="11"/>
      <c r="B142" s="11"/>
      <c r="C142" s="11"/>
      <c r="D142" s="11"/>
    </row>
    <row r="143">
      <c r="A143" s="11"/>
      <c r="B143" s="11"/>
      <c r="C143" s="11"/>
      <c r="D143" s="11"/>
    </row>
    <row r="144">
      <c r="A144" s="11"/>
      <c r="B144" s="11"/>
      <c r="C144" s="11"/>
      <c r="D144" s="11"/>
    </row>
    <row r="145">
      <c r="A145" s="11"/>
      <c r="B145" s="11"/>
      <c r="C145" s="11"/>
      <c r="D145" s="11"/>
    </row>
    <row r="146">
      <c r="A146" s="11"/>
      <c r="B146" s="11"/>
      <c r="C146" s="11"/>
      <c r="D146" s="11"/>
    </row>
    <row r="147">
      <c r="A147" s="11"/>
      <c r="B147" s="11"/>
      <c r="C147" s="11"/>
      <c r="D147" s="11"/>
    </row>
    <row r="148">
      <c r="A148" s="11"/>
      <c r="B148" s="11"/>
      <c r="C148" s="11"/>
      <c r="D148" s="11"/>
    </row>
    <row r="149">
      <c r="A149" s="11"/>
      <c r="B149" s="11"/>
      <c r="C149" s="11"/>
      <c r="D149" s="11"/>
    </row>
    <row r="150">
      <c r="A150" s="11"/>
      <c r="B150" s="11"/>
      <c r="C150" s="11"/>
      <c r="D150" s="11"/>
    </row>
    <row r="151">
      <c r="A151" s="11"/>
      <c r="B151" s="11"/>
      <c r="C151" s="11"/>
      <c r="D151" s="11"/>
    </row>
    <row r="152">
      <c r="A152" s="11"/>
      <c r="B152" s="11"/>
      <c r="C152" s="11"/>
      <c r="D152" s="11"/>
    </row>
    <row r="153">
      <c r="A153" s="11"/>
      <c r="B153" s="11"/>
      <c r="C153" s="11"/>
      <c r="D153" s="11"/>
    </row>
    <row r="154">
      <c r="A154" s="11"/>
      <c r="B154" s="11"/>
      <c r="C154" s="11"/>
      <c r="D154" s="11"/>
    </row>
    <row r="155">
      <c r="A155" s="11"/>
      <c r="B155" s="11"/>
      <c r="C155" s="11"/>
      <c r="D155" s="11"/>
    </row>
    <row r="156">
      <c r="A156" s="11"/>
      <c r="B156" s="11"/>
      <c r="C156" s="11"/>
      <c r="D156" s="11"/>
    </row>
    <row r="157">
      <c r="A157" s="11"/>
      <c r="B157" s="11"/>
      <c r="C157" s="11"/>
      <c r="D157" s="11"/>
    </row>
    <row r="158">
      <c r="A158" s="11"/>
      <c r="B158" s="11"/>
      <c r="C158" s="11"/>
      <c r="D158" s="11"/>
    </row>
    <row r="159">
      <c r="A159" s="11"/>
      <c r="B159" s="11"/>
      <c r="C159" s="11"/>
      <c r="D159" s="11"/>
    </row>
    <row r="160">
      <c r="A160" s="11"/>
      <c r="B160" s="11"/>
      <c r="C160" s="11"/>
      <c r="D160" s="11"/>
    </row>
    <row r="161">
      <c r="A161" s="11"/>
      <c r="B161" s="11"/>
      <c r="C161" s="11"/>
      <c r="D161" s="11"/>
    </row>
    <row r="162">
      <c r="A162" s="11"/>
      <c r="B162" s="11"/>
      <c r="C162" s="11"/>
      <c r="D162" s="11"/>
    </row>
    <row r="163">
      <c r="A163" s="11"/>
      <c r="B163" s="11"/>
      <c r="C163" s="11"/>
      <c r="D163" s="11"/>
    </row>
    <row r="164">
      <c r="A164" s="11"/>
      <c r="B164" s="11"/>
      <c r="C164" s="11"/>
      <c r="D164" s="11"/>
    </row>
    <row r="165">
      <c r="A165" s="11"/>
      <c r="B165" s="11"/>
      <c r="C165" s="11"/>
      <c r="D165" s="11"/>
    </row>
    <row r="166">
      <c r="A166" s="11"/>
      <c r="B166" s="11"/>
      <c r="C166" s="11"/>
      <c r="D166" s="11"/>
    </row>
    <row r="167">
      <c r="A167" s="11"/>
      <c r="B167" s="11"/>
      <c r="C167" s="11"/>
      <c r="D167" s="11"/>
    </row>
    <row r="168">
      <c r="A168" s="11"/>
      <c r="B168" s="11"/>
      <c r="C168" s="11"/>
      <c r="D168" s="11"/>
    </row>
    <row r="169">
      <c r="A169" s="11"/>
      <c r="B169" s="11"/>
      <c r="C169" s="11"/>
      <c r="D169" s="11"/>
    </row>
    <row r="170">
      <c r="A170" s="11"/>
      <c r="B170" s="11"/>
      <c r="C170" s="11"/>
      <c r="D170" s="11"/>
    </row>
    <row r="171">
      <c r="A171" s="11"/>
      <c r="B171" s="11"/>
      <c r="C171" s="11"/>
      <c r="D171" s="11"/>
    </row>
    <row r="172">
      <c r="A172" s="11"/>
      <c r="B172" s="11"/>
      <c r="C172" s="11"/>
      <c r="D172" s="11"/>
    </row>
    <row r="173">
      <c r="A173" s="11"/>
      <c r="B173" s="11"/>
      <c r="C173" s="11"/>
      <c r="D173" s="11"/>
    </row>
    <row r="174">
      <c r="A174" s="11"/>
      <c r="B174" s="11"/>
      <c r="C174" s="11"/>
      <c r="D174" s="11"/>
    </row>
    <row r="175">
      <c r="A175" s="11"/>
      <c r="B175" s="11"/>
      <c r="C175" s="11"/>
      <c r="D175" s="11"/>
    </row>
    <row r="176">
      <c r="A176" s="11"/>
      <c r="B176" s="11"/>
      <c r="C176" s="11"/>
      <c r="D176" s="11"/>
    </row>
    <row r="177">
      <c r="A177" s="11"/>
      <c r="B177" s="11"/>
      <c r="C177" s="11"/>
      <c r="D177" s="11"/>
    </row>
    <row r="178">
      <c r="A178" s="11"/>
      <c r="B178" s="11"/>
      <c r="C178" s="11"/>
      <c r="D178" s="11"/>
    </row>
    <row r="179">
      <c r="A179" s="11"/>
      <c r="B179" s="11"/>
      <c r="C179" s="11"/>
      <c r="D179" s="11"/>
    </row>
    <row r="180">
      <c r="A180" s="11"/>
      <c r="B180" s="11"/>
      <c r="C180" s="11"/>
      <c r="D180" s="11"/>
    </row>
    <row r="181">
      <c r="A181" s="11"/>
      <c r="B181" s="11"/>
      <c r="C181" s="11"/>
      <c r="D181" s="11"/>
    </row>
    <row r="182">
      <c r="A182" s="11"/>
      <c r="B182" s="11"/>
      <c r="C182" s="11"/>
      <c r="D182" s="11"/>
    </row>
    <row r="183">
      <c r="A183" s="11"/>
      <c r="B183" s="11"/>
      <c r="C183" s="11"/>
      <c r="D183" s="11"/>
    </row>
    <row r="184">
      <c r="A184" s="11"/>
      <c r="B184" s="11"/>
      <c r="C184" s="11"/>
      <c r="D184" s="11"/>
    </row>
    <row r="185">
      <c r="A185" s="11"/>
      <c r="B185" s="11"/>
      <c r="C185" s="11"/>
      <c r="D185" s="11"/>
    </row>
    <row r="186">
      <c r="A186" s="11"/>
      <c r="B186" s="11"/>
      <c r="C186" s="11"/>
      <c r="D186" s="11"/>
    </row>
    <row r="187">
      <c r="A187" s="11"/>
      <c r="B187" s="11"/>
      <c r="C187" s="11"/>
      <c r="D187" s="11"/>
    </row>
    <row r="188">
      <c r="A188" s="11"/>
      <c r="B188" s="11"/>
      <c r="C188" s="11"/>
      <c r="D188" s="11"/>
    </row>
    <row r="189">
      <c r="A189" s="11"/>
      <c r="B189" s="11"/>
      <c r="C189" s="11"/>
      <c r="D189" s="11"/>
    </row>
    <row r="190">
      <c r="A190" s="11"/>
      <c r="B190" s="11"/>
      <c r="C190" s="11"/>
      <c r="D190" s="11"/>
    </row>
    <row r="191">
      <c r="A191" s="11"/>
      <c r="B191" s="11"/>
      <c r="C191" s="11"/>
      <c r="D191" s="11"/>
    </row>
    <row r="192">
      <c r="A192" s="11"/>
      <c r="B192" s="11"/>
      <c r="C192" s="11"/>
      <c r="D192" s="11"/>
    </row>
    <row r="193">
      <c r="A193" s="11"/>
      <c r="B193" s="11"/>
      <c r="C193" s="11"/>
      <c r="D193" s="11"/>
    </row>
    <row r="194">
      <c r="A194" s="11"/>
      <c r="B194" s="11"/>
      <c r="C194" s="11"/>
      <c r="D194" s="11"/>
    </row>
    <row r="195">
      <c r="A195" s="11"/>
      <c r="B195" s="11"/>
      <c r="C195" s="11"/>
      <c r="D195" s="11"/>
    </row>
    <row r="196">
      <c r="A196" s="11"/>
      <c r="B196" s="11"/>
      <c r="C196" s="11"/>
      <c r="D196" s="11"/>
    </row>
    <row r="197">
      <c r="A197" s="11"/>
      <c r="B197" s="11"/>
      <c r="C197" s="11"/>
      <c r="D197" s="11"/>
    </row>
    <row r="198">
      <c r="A198" s="11"/>
      <c r="B198" s="11"/>
      <c r="C198" s="11"/>
      <c r="D198" s="11"/>
    </row>
    <row r="199">
      <c r="A199" s="11"/>
      <c r="B199" s="11"/>
      <c r="C199" s="11"/>
      <c r="D199" s="11"/>
    </row>
    <row r="200">
      <c r="A200" s="11"/>
      <c r="B200" s="11"/>
      <c r="C200" s="11"/>
      <c r="D200" s="11"/>
    </row>
    <row r="201">
      <c r="A201" s="11"/>
      <c r="B201" s="11"/>
      <c r="C201" s="11"/>
      <c r="D201" s="11"/>
    </row>
    <row r="202">
      <c r="A202" s="11"/>
      <c r="B202" s="11"/>
      <c r="C202" s="11"/>
      <c r="D202" s="11"/>
    </row>
    <row r="203">
      <c r="A203" s="11"/>
      <c r="B203" s="11"/>
      <c r="C203" s="11"/>
      <c r="D203" s="11"/>
    </row>
    <row r="204">
      <c r="A204" s="11"/>
      <c r="B204" s="11"/>
      <c r="C204" s="11"/>
      <c r="D204" s="11"/>
    </row>
    <row r="205">
      <c r="A205" s="11"/>
      <c r="B205" s="11"/>
      <c r="C205" s="11"/>
      <c r="D205" s="11"/>
    </row>
    <row r="206">
      <c r="A206" s="11"/>
      <c r="B206" s="11"/>
      <c r="C206" s="11"/>
      <c r="D206" s="11"/>
    </row>
    <row r="207">
      <c r="A207" s="11"/>
      <c r="B207" s="11"/>
      <c r="C207" s="11"/>
      <c r="D207" s="11"/>
    </row>
    <row r="208">
      <c r="A208" s="11"/>
      <c r="B208" s="11"/>
      <c r="C208" s="11"/>
      <c r="D208" s="11"/>
    </row>
    <row r="209">
      <c r="A209" s="11"/>
      <c r="B209" s="11"/>
      <c r="C209" s="11"/>
      <c r="D209" s="11"/>
    </row>
    <row r="210">
      <c r="A210" s="11"/>
      <c r="B210" s="11"/>
      <c r="C210" s="11"/>
      <c r="D210" s="11"/>
    </row>
    <row r="211">
      <c r="A211" s="11"/>
      <c r="B211" s="11"/>
      <c r="C211" s="11"/>
      <c r="D211" s="11"/>
    </row>
    <row r="212">
      <c r="A212" s="11"/>
      <c r="B212" s="11"/>
      <c r="C212" s="11"/>
      <c r="D212" s="11"/>
    </row>
    <row r="213">
      <c r="A213" s="11"/>
      <c r="B213" s="11"/>
      <c r="C213" s="11"/>
      <c r="D213" s="11"/>
    </row>
    <row r="214">
      <c r="A214" s="11"/>
      <c r="B214" s="11"/>
      <c r="C214" s="11"/>
      <c r="D214" s="11"/>
    </row>
    <row r="215">
      <c r="A215" s="11"/>
      <c r="B215" s="11"/>
      <c r="C215" s="11"/>
      <c r="D215" s="11"/>
    </row>
    <row r="216">
      <c r="A216" s="11"/>
      <c r="B216" s="11"/>
      <c r="C216" s="11"/>
      <c r="D216" s="11"/>
    </row>
    <row r="217">
      <c r="A217" s="11"/>
      <c r="B217" s="11"/>
      <c r="C217" s="11"/>
      <c r="D217" s="11"/>
    </row>
    <row r="218">
      <c r="A218" s="11"/>
      <c r="B218" s="11"/>
      <c r="C218" s="11"/>
      <c r="D218" s="11"/>
    </row>
    <row r="219">
      <c r="A219" s="11"/>
      <c r="B219" s="11"/>
      <c r="C219" s="11"/>
      <c r="D219" s="11"/>
    </row>
    <row r="220">
      <c r="A220" s="11"/>
      <c r="B220" s="11"/>
      <c r="C220" s="11"/>
      <c r="D220" s="11"/>
    </row>
    <row r="221">
      <c r="A221" s="11"/>
      <c r="B221" s="11"/>
      <c r="C221" s="11"/>
      <c r="D221" s="11"/>
    </row>
    <row r="222">
      <c r="A222" s="11"/>
      <c r="B222" s="11"/>
      <c r="C222" s="11"/>
      <c r="D222" s="11"/>
    </row>
    <row r="223">
      <c r="A223" s="11"/>
      <c r="B223" s="11"/>
      <c r="C223" s="11"/>
      <c r="D223" s="11"/>
    </row>
    <row r="224">
      <c r="A224" s="11"/>
      <c r="B224" s="11"/>
      <c r="C224" s="11"/>
      <c r="D224" s="11"/>
    </row>
    <row r="225">
      <c r="A225" s="11"/>
      <c r="B225" s="11"/>
      <c r="C225" s="11"/>
      <c r="D225" s="11"/>
    </row>
    <row r="226">
      <c r="A226" s="11"/>
      <c r="B226" s="11"/>
      <c r="C226" s="11"/>
      <c r="D226" s="11"/>
    </row>
    <row r="227">
      <c r="A227" s="11"/>
      <c r="B227" s="11"/>
      <c r="C227" s="11"/>
      <c r="D227" s="11"/>
    </row>
    <row r="228">
      <c r="A228" s="11"/>
      <c r="B228" s="11"/>
      <c r="C228" s="11"/>
      <c r="D228" s="11"/>
    </row>
    <row r="229">
      <c r="A229" s="11"/>
      <c r="B229" s="11"/>
      <c r="C229" s="11"/>
      <c r="D229" s="11"/>
    </row>
    <row r="230">
      <c r="A230" s="11"/>
      <c r="B230" s="11"/>
      <c r="C230" s="11"/>
      <c r="D230" s="11"/>
    </row>
    <row r="231">
      <c r="A231" s="11"/>
      <c r="B231" s="11"/>
      <c r="C231" s="11"/>
      <c r="D231" s="11"/>
    </row>
    <row r="232">
      <c r="A232" s="11"/>
      <c r="B232" s="11"/>
      <c r="C232" s="11"/>
      <c r="D232" s="11"/>
    </row>
    <row r="233">
      <c r="A233" s="11"/>
      <c r="B233" s="11"/>
      <c r="C233" s="11"/>
      <c r="D233" s="11"/>
    </row>
    <row r="234">
      <c r="A234" s="11"/>
      <c r="B234" s="11"/>
      <c r="C234" s="11"/>
      <c r="D234" s="11"/>
    </row>
    <row r="235">
      <c r="A235" s="11"/>
      <c r="B235" s="11"/>
      <c r="C235" s="11"/>
      <c r="D235" s="11"/>
    </row>
    <row r="236">
      <c r="A236" s="11"/>
      <c r="B236" s="11"/>
      <c r="C236" s="11"/>
      <c r="D236" s="11"/>
    </row>
    <row r="237">
      <c r="A237" s="11"/>
      <c r="B237" s="11"/>
      <c r="C237" s="11"/>
      <c r="D237" s="11"/>
    </row>
    <row r="238">
      <c r="A238" s="11"/>
      <c r="B238" s="11"/>
      <c r="C238" s="11"/>
      <c r="D238" s="11"/>
    </row>
    <row r="239">
      <c r="A239" s="11"/>
      <c r="B239" s="11"/>
      <c r="C239" s="11"/>
      <c r="D239" s="11"/>
    </row>
    <row r="240">
      <c r="A240" s="11"/>
      <c r="B240" s="11"/>
      <c r="C240" s="11"/>
      <c r="D240" s="11"/>
    </row>
    <row r="241">
      <c r="A241" s="11"/>
      <c r="B241" s="11"/>
      <c r="C241" s="11"/>
      <c r="D241" s="11"/>
    </row>
    <row r="242">
      <c r="A242" s="11"/>
      <c r="B242" s="11"/>
      <c r="C242" s="11"/>
      <c r="D242" s="11"/>
    </row>
    <row r="243">
      <c r="A243" s="11"/>
      <c r="B243" s="11"/>
      <c r="C243" s="11"/>
      <c r="D243" s="11"/>
    </row>
    <row r="244">
      <c r="A244" s="11"/>
      <c r="B244" s="11"/>
      <c r="C244" s="11"/>
      <c r="D244" s="11"/>
    </row>
    <row r="245">
      <c r="A245" s="11"/>
      <c r="B245" s="11"/>
      <c r="C245" s="11"/>
      <c r="D245" s="11"/>
    </row>
    <row r="246">
      <c r="A246" s="11"/>
      <c r="B246" s="11"/>
      <c r="C246" s="11"/>
      <c r="D246" s="11"/>
    </row>
    <row r="247">
      <c r="A247" s="11"/>
      <c r="B247" s="11"/>
      <c r="C247" s="11"/>
      <c r="D247" s="11"/>
    </row>
    <row r="248">
      <c r="A248" s="11"/>
      <c r="B248" s="11"/>
      <c r="C248" s="11"/>
      <c r="D248" s="11"/>
    </row>
    <row r="249">
      <c r="A249" s="11"/>
      <c r="B249" s="11"/>
      <c r="C249" s="11"/>
      <c r="D249" s="11"/>
    </row>
    <row r="250">
      <c r="A250" s="11"/>
      <c r="B250" s="11"/>
      <c r="C250" s="11"/>
      <c r="D250" s="11"/>
    </row>
    <row r="251">
      <c r="A251" s="11"/>
      <c r="B251" s="11"/>
      <c r="C251" s="11"/>
      <c r="D251" s="11"/>
    </row>
    <row r="252">
      <c r="A252" s="11"/>
      <c r="B252" s="11"/>
      <c r="C252" s="11"/>
      <c r="D252" s="11"/>
    </row>
    <row r="253">
      <c r="A253" s="11"/>
      <c r="B253" s="11"/>
      <c r="C253" s="11"/>
      <c r="D253" s="11"/>
    </row>
    <row r="254">
      <c r="A254" s="11"/>
      <c r="B254" s="11"/>
      <c r="C254" s="11"/>
      <c r="D254" s="11"/>
    </row>
    <row r="255">
      <c r="A255" s="11"/>
      <c r="B255" s="11"/>
      <c r="C255" s="11"/>
      <c r="D255" s="11"/>
    </row>
    <row r="256">
      <c r="A256" s="11"/>
      <c r="B256" s="11"/>
      <c r="C256" s="11"/>
      <c r="D256" s="11"/>
    </row>
    <row r="257">
      <c r="A257" s="11"/>
      <c r="B257" s="11"/>
      <c r="C257" s="11"/>
      <c r="D257" s="11"/>
    </row>
    <row r="258">
      <c r="A258" s="11"/>
      <c r="B258" s="11"/>
      <c r="C258" s="11"/>
      <c r="D258" s="11"/>
    </row>
    <row r="259">
      <c r="A259" s="11"/>
      <c r="B259" s="11"/>
      <c r="C259" s="11"/>
      <c r="D259" s="11"/>
    </row>
    <row r="260">
      <c r="A260" s="11"/>
      <c r="B260" s="11"/>
      <c r="C260" s="11"/>
      <c r="D260" s="11"/>
    </row>
    <row r="261">
      <c r="A261" s="11"/>
      <c r="B261" s="11"/>
      <c r="C261" s="11"/>
      <c r="D261" s="11"/>
    </row>
    <row r="262">
      <c r="A262" s="11"/>
      <c r="B262" s="11"/>
      <c r="C262" s="11"/>
      <c r="D262" s="11"/>
    </row>
    <row r="263">
      <c r="A263" s="11"/>
      <c r="B263" s="11"/>
      <c r="C263" s="11"/>
      <c r="D263" s="11"/>
    </row>
    <row r="264">
      <c r="A264" s="11"/>
      <c r="B264" s="11"/>
      <c r="C264" s="11"/>
      <c r="D264" s="11"/>
    </row>
    <row r="265">
      <c r="A265" s="11"/>
      <c r="B265" s="11"/>
      <c r="C265" s="11"/>
      <c r="D265" s="11"/>
    </row>
    <row r="266">
      <c r="A266" s="11"/>
      <c r="B266" s="11"/>
      <c r="C266" s="11"/>
      <c r="D266" s="11"/>
    </row>
    <row r="267">
      <c r="A267" s="11"/>
      <c r="B267" s="11"/>
      <c r="C267" s="11"/>
      <c r="D267" s="11"/>
    </row>
    <row r="268">
      <c r="A268" s="11"/>
      <c r="B268" s="11"/>
      <c r="C268" s="11"/>
      <c r="D268" s="11"/>
    </row>
    <row r="269">
      <c r="A269" s="11"/>
      <c r="B269" s="11"/>
      <c r="C269" s="11"/>
      <c r="D269" s="11"/>
    </row>
    <row r="270">
      <c r="A270" s="11"/>
      <c r="B270" s="11"/>
      <c r="C270" s="11"/>
      <c r="D270" s="11"/>
    </row>
    <row r="271">
      <c r="A271" s="11"/>
      <c r="B271" s="11"/>
      <c r="C271" s="11"/>
      <c r="D271" s="11"/>
    </row>
    <row r="272">
      <c r="A272" s="11"/>
      <c r="B272" s="11"/>
      <c r="C272" s="11"/>
      <c r="D272" s="11"/>
    </row>
    <row r="273">
      <c r="A273" s="11"/>
      <c r="B273" s="11"/>
      <c r="C273" s="11"/>
      <c r="D273" s="11"/>
    </row>
    <row r="274">
      <c r="A274" s="11"/>
      <c r="B274" s="11"/>
      <c r="C274" s="11"/>
      <c r="D274" s="11"/>
    </row>
    <row r="275">
      <c r="A275" s="11"/>
      <c r="B275" s="11"/>
      <c r="C275" s="11"/>
      <c r="D275" s="11"/>
    </row>
    <row r="276">
      <c r="A276" s="11"/>
      <c r="B276" s="11"/>
      <c r="C276" s="11"/>
      <c r="D276" s="11"/>
    </row>
    <row r="277">
      <c r="A277" s="11"/>
      <c r="B277" s="11"/>
      <c r="C277" s="11"/>
      <c r="D277" s="11"/>
    </row>
    <row r="278">
      <c r="A278" s="11"/>
      <c r="B278" s="11"/>
      <c r="C278" s="11"/>
      <c r="D278" s="11"/>
    </row>
    <row r="279">
      <c r="A279" s="11"/>
      <c r="B279" s="11"/>
      <c r="C279" s="11"/>
      <c r="D279" s="11"/>
    </row>
    <row r="280">
      <c r="A280" s="11"/>
      <c r="B280" s="11"/>
      <c r="C280" s="11"/>
      <c r="D280" s="11"/>
    </row>
    <row r="281">
      <c r="A281" s="11"/>
      <c r="B281" s="11"/>
      <c r="C281" s="11"/>
      <c r="D281" s="11"/>
    </row>
    <row r="282">
      <c r="A282" s="11"/>
      <c r="B282" s="11"/>
      <c r="C282" s="11"/>
      <c r="D282" s="11"/>
    </row>
    <row r="283">
      <c r="A283" s="11"/>
      <c r="B283" s="11"/>
      <c r="C283" s="11"/>
      <c r="D283" s="11"/>
    </row>
    <row r="284">
      <c r="A284" s="11"/>
      <c r="B284" s="11"/>
      <c r="C284" s="11"/>
      <c r="D284" s="11"/>
    </row>
    <row r="285">
      <c r="A285" s="11"/>
      <c r="B285" s="11"/>
      <c r="C285" s="11"/>
      <c r="D285" s="11"/>
    </row>
    <row r="286">
      <c r="A286" s="11"/>
      <c r="B286" s="11"/>
      <c r="C286" s="11"/>
      <c r="D286" s="11"/>
    </row>
    <row r="287">
      <c r="A287" s="11"/>
      <c r="B287" s="11"/>
      <c r="C287" s="11"/>
      <c r="D287" s="11"/>
    </row>
    <row r="288">
      <c r="A288" s="11"/>
      <c r="B288" s="11"/>
      <c r="C288" s="11"/>
      <c r="D288" s="11"/>
    </row>
    <row r="289">
      <c r="A289" s="11"/>
      <c r="B289" s="11"/>
      <c r="C289" s="11"/>
      <c r="D289" s="11"/>
    </row>
    <row r="290">
      <c r="A290" s="11"/>
      <c r="B290" s="11"/>
      <c r="C290" s="11"/>
      <c r="D290" s="11"/>
    </row>
    <row r="291">
      <c r="A291" s="11"/>
      <c r="B291" s="11"/>
      <c r="C291" s="11"/>
      <c r="D291" s="11"/>
    </row>
    <row r="292">
      <c r="A292" s="11"/>
      <c r="B292" s="11"/>
      <c r="C292" s="11"/>
      <c r="D292" s="11"/>
    </row>
    <row r="293">
      <c r="A293" s="11"/>
      <c r="B293" s="11"/>
      <c r="C293" s="11"/>
      <c r="D293" s="11"/>
    </row>
    <row r="294">
      <c r="A294" s="11"/>
      <c r="B294" s="11"/>
      <c r="C294" s="11"/>
      <c r="D294" s="11"/>
    </row>
    <row r="295">
      <c r="A295" s="11"/>
      <c r="B295" s="11"/>
      <c r="C295" s="11"/>
      <c r="D295" s="11"/>
    </row>
    <row r="296">
      <c r="A296" s="11"/>
      <c r="B296" s="11"/>
      <c r="C296" s="11"/>
      <c r="D296" s="11"/>
    </row>
    <row r="297">
      <c r="A297" s="11"/>
      <c r="B297" s="11"/>
      <c r="C297" s="11"/>
      <c r="D297" s="11"/>
    </row>
    <row r="298">
      <c r="A298" s="11"/>
      <c r="B298" s="11"/>
      <c r="C298" s="11"/>
      <c r="D298" s="11"/>
    </row>
    <row r="299">
      <c r="A299" s="11"/>
      <c r="B299" s="11"/>
      <c r="C299" s="11"/>
      <c r="D299" s="11"/>
    </row>
    <row r="300">
      <c r="A300" s="11"/>
      <c r="B300" s="11"/>
      <c r="C300" s="11"/>
      <c r="D300" s="11"/>
    </row>
    <row r="301">
      <c r="A301" s="11"/>
      <c r="B301" s="11"/>
      <c r="C301" s="11"/>
      <c r="D301" s="11"/>
    </row>
    <row r="302">
      <c r="A302" s="11"/>
      <c r="B302" s="11"/>
      <c r="C302" s="11"/>
      <c r="D302" s="11"/>
    </row>
    <row r="303">
      <c r="A303" s="11"/>
      <c r="B303" s="11"/>
      <c r="C303" s="11"/>
      <c r="D303" s="11"/>
    </row>
    <row r="304">
      <c r="A304" s="11"/>
      <c r="B304" s="11"/>
      <c r="C304" s="11"/>
      <c r="D304" s="11"/>
    </row>
    <row r="305">
      <c r="A305" s="11"/>
      <c r="B305" s="11"/>
      <c r="C305" s="11"/>
      <c r="D305" s="11"/>
    </row>
    <row r="306">
      <c r="A306" s="11"/>
      <c r="B306" s="11"/>
      <c r="C306" s="11"/>
      <c r="D306" s="11"/>
    </row>
    <row r="307">
      <c r="A307" s="11"/>
      <c r="B307" s="11"/>
      <c r="C307" s="11"/>
      <c r="D307" s="11"/>
    </row>
    <row r="308">
      <c r="A308" s="11"/>
      <c r="B308" s="11"/>
      <c r="C308" s="11"/>
      <c r="D308" s="11"/>
    </row>
    <row r="309">
      <c r="A309" s="11"/>
      <c r="B309" s="11"/>
      <c r="C309" s="11"/>
      <c r="D309" s="11"/>
    </row>
    <row r="310">
      <c r="A310" s="11"/>
      <c r="B310" s="11"/>
      <c r="C310" s="11"/>
      <c r="D310" s="11"/>
    </row>
    <row r="311">
      <c r="A311" s="11"/>
      <c r="B311" s="11"/>
      <c r="C311" s="11"/>
      <c r="D311" s="11"/>
    </row>
    <row r="312">
      <c r="A312" s="11"/>
      <c r="B312" s="11"/>
      <c r="C312" s="11"/>
      <c r="D312" s="11"/>
    </row>
    <row r="313">
      <c r="A313" s="11"/>
      <c r="B313" s="11"/>
      <c r="C313" s="11"/>
      <c r="D313" s="11"/>
    </row>
    <row r="314">
      <c r="A314" s="11"/>
      <c r="B314" s="11"/>
      <c r="C314" s="11"/>
      <c r="D314" s="11"/>
    </row>
    <row r="315">
      <c r="A315" s="11"/>
      <c r="B315" s="11"/>
      <c r="C315" s="11"/>
      <c r="D315" s="11"/>
    </row>
    <row r="316">
      <c r="A316" s="11"/>
      <c r="B316" s="11"/>
      <c r="C316" s="11"/>
      <c r="D316" s="11"/>
    </row>
    <row r="317">
      <c r="A317" s="11"/>
      <c r="B317" s="11"/>
      <c r="C317" s="11"/>
      <c r="D317" s="11"/>
    </row>
    <row r="318">
      <c r="A318" s="11"/>
      <c r="B318" s="11"/>
      <c r="C318" s="11"/>
      <c r="D318" s="11"/>
    </row>
    <row r="319">
      <c r="A319" s="11"/>
      <c r="B319" s="11"/>
      <c r="C319" s="11"/>
      <c r="D319" s="11"/>
    </row>
    <row r="320">
      <c r="A320" s="11"/>
      <c r="B320" s="11"/>
      <c r="C320" s="11"/>
      <c r="D320" s="11"/>
    </row>
    <row r="321">
      <c r="A321" s="11"/>
      <c r="B321" s="11"/>
      <c r="C321" s="11"/>
      <c r="D321" s="11"/>
    </row>
    <row r="322">
      <c r="A322" s="11"/>
      <c r="B322" s="11"/>
      <c r="C322" s="11"/>
      <c r="D322" s="11"/>
    </row>
    <row r="323">
      <c r="A323" s="11"/>
      <c r="B323" s="11"/>
      <c r="C323" s="11"/>
      <c r="D323" s="11"/>
    </row>
    <row r="324">
      <c r="A324" s="11"/>
      <c r="B324" s="11"/>
      <c r="C324" s="11"/>
      <c r="D324" s="11"/>
    </row>
    <row r="325">
      <c r="A325" s="11"/>
      <c r="B325" s="11"/>
      <c r="C325" s="11"/>
      <c r="D325" s="11"/>
    </row>
    <row r="326">
      <c r="A326" s="11"/>
      <c r="B326" s="11"/>
      <c r="C326" s="11"/>
      <c r="D326" s="11"/>
    </row>
    <row r="327">
      <c r="A327" s="11"/>
      <c r="B327" s="11"/>
      <c r="C327" s="11"/>
      <c r="D327" s="11"/>
    </row>
    <row r="328">
      <c r="A328" s="11"/>
      <c r="B328" s="11"/>
      <c r="C328" s="11"/>
      <c r="D328" s="11"/>
    </row>
    <row r="329">
      <c r="A329" s="11"/>
      <c r="B329" s="11"/>
      <c r="C329" s="11"/>
      <c r="D329" s="11"/>
    </row>
    <row r="330">
      <c r="A330" s="11"/>
      <c r="B330" s="11"/>
      <c r="C330" s="11"/>
      <c r="D330" s="11"/>
    </row>
    <row r="331">
      <c r="A331" s="11"/>
      <c r="B331" s="11"/>
      <c r="C331" s="11"/>
      <c r="D331" s="11"/>
    </row>
    <row r="332">
      <c r="A332" s="11"/>
      <c r="B332" s="11"/>
      <c r="C332" s="11"/>
      <c r="D332" s="11"/>
    </row>
    <row r="333">
      <c r="A333" s="11"/>
      <c r="B333" s="11"/>
      <c r="C333" s="11"/>
      <c r="D333" s="11"/>
    </row>
    <row r="334">
      <c r="A334" s="11"/>
      <c r="B334" s="11"/>
      <c r="C334" s="11"/>
      <c r="D334" s="11"/>
    </row>
    <row r="335">
      <c r="A335" s="11"/>
      <c r="B335" s="11"/>
      <c r="C335" s="11"/>
      <c r="D335" s="11"/>
    </row>
    <row r="336">
      <c r="A336" s="11"/>
      <c r="B336" s="11"/>
      <c r="C336" s="11"/>
      <c r="D336" s="11"/>
    </row>
    <row r="337">
      <c r="A337" s="11"/>
      <c r="B337" s="11"/>
      <c r="C337" s="11"/>
      <c r="D337" s="11"/>
    </row>
    <row r="338">
      <c r="A338" s="11"/>
      <c r="B338" s="11"/>
      <c r="C338" s="11"/>
      <c r="D338" s="11"/>
    </row>
    <row r="339">
      <c r="A339" s="11"/>
      <c r="B339" s="11"/>
      <c r="C339" s="11"/>
      <c r="D339" s="11"/>
    </row>
    <row r="340">
      <c r="A340" s="11"/>
      <c r="B340" s="11"/>
      <c r="C340" s="11"/>
      <c r="D340" s="11"/>
    </row>
    <row r="341">
      <c r="A341" s="11"/>
      <c r="B341" s="11"/>
      <c r="C341" s="11"/>
      <c r="D341" s="11"/>
    </row>
    <row r="342">
      <c r="A342" s="11"/>
      <c r="B342" s="11"/>
      <c r="C342" s="11"/>
      <c r="D342" s="11"/>
    </row>
    <row r="343">
      <c r="A343" s="11"/>
      <c r="B343" s="11"/>
      <c r="C343" s="11"/>
      <c r="D343" s="11"/>
    </row>
    <row r="344">
      <c r="A344" s="11"/>
      <c r="B344" s="11"/>
      <c r="C344" s="11"/>
      <c r="D344" s="11"/>
    </row>
    <row r="345">
      <c r="A345" s="11"/>
      <c r="B345" s="11"/>
      <c r="C345" s="11"/>
      <c r="D345" s="11"/>
    </row>
    <row r="346">
      <c r="A346" s="11"/>
      <c r="B346" s="11"/>
      <c r="C346" s="11"/>
      <c r="D346" s="11"/>
    </row>
    <row r="347">
      <c r="A347" s="11"/>
      <c r="B347" s="11"/>
      <c r="C347" s="11"/>
      <c r="D347" s="11"/>
    </row>
    <row r="348">
      <c r="A348" s="11"/>
      <c r="B348" s="11"/>
      <c r="C348" s="11"/>
      <c r="D348" s="11"/>
    </row>
    <row r="349">
      <c r="A349" s="11"/>
      <c r="B349" s="11"/>
      <c r="C349" s="11"/>
      <c r="D349" s="11"/>
    </row>
    <row r="350">
      <c r="A350" s="11"/>
      <c r="B350" s="11"/>
      <c r="C350" s="11"/>
      <c r="D350" s="11"/>
    </row>
    <row r="351">
      <c r="A351" s="11"/>
      <c r="B351" s="11"/>
      <c r="C351" s="11"/>
      <c r="D351" s="11"/>
    </row>
    <row r="352">
      <c r="A352" s="11"/>
      <c r="B352" s="11"/>
      <c r="C352" s="11"/>
      <c r="D352" s="11"/>
    </row>
    <row r="353">
      <c r="A353" s="11"/>
      <c r="B353" s="11"/>
      <c r="C353" s="11"/>
      <c r="D353" s="11"/>
    </row>
    <row r="354">
      <c r="A354" s="11"/>
      <c r="B354" s="11"/>
      <c r="C354" s="11"/>
      <c r="D354" s="11"/>
    </row>
    <row r="355">
      <c r="A355" s="11"/>
      <c r="B355" s="11"/>
      <c r="C355" s="11"/>
      <c r="D355" s="11"/>
    </row>
    <row r="356">
      <c r="A356" s="11"/>
      <c r="B356" s="11"/>
      <c r="C356" s="11"/>
      <c r="D356" s="11"/>
    </row>
    <row r="357">
      <c r="A357" s="11"/>
      <c r="B357" s="11"/>
      <c r="C357" s="11"/>
      <c r="D357" s="11"/>
    </row>
    <row r="358">
      <c r="A358" s="11"/>
      <c r="B358" s="11"/>
      <c r="C358" s="11"/>
      <c r="D358" s="11"/>
    </row>
    <row r="359">
      <c r="A359" s="11"/>
      <c r="B359" s="11"/>
      <c r="C359" s="11"/>
      <c r="D359" s="11"/>
    </row>
    <row r="360">
      <c r="A360" s="11"/>
      <c r="B360" s="11"/>
      <c r="C360" s="11"/>
      <c r="D360" s="11"/>
    </row>
    <row r="361">
      <c r="A361" s="11"/>
      <c r="B361" s="11"/>
      <c r="C361" s="11"/>
      <c r="D361" s="11"/>
    </row>
    <row r="362">
      <c r="A362" s="11"/>
      <c r="B362" s="11"/>
      <c r="C362" s="11"/>
      <c r="D362" s="11"/>
    </row>
    <row r="363">
      <c r="A363" s="11"/>
      <c r="B363" s="11"/>
      <c r="C363" s="11"/>
      <c r="D363" s="11"/>
    </row>
    <row r="364">
      <c r="A364" s="11"/>
      <c r="B364" s="11"/>
      <c r="C364" s="11"/>
      <c r="D364" s="11"/>
    </row>
    <row r="365">
      <c r="A365" s="11"/>
      <c r="B365" s="11"/>
      <c r="C365" s="11"/>
      <c r="D365" s="11"/>
    </row>
    <row r="366">
      <c r="A366" s="11"/>
      <c r="B366" s="11"/>
      <c r="C366" s="11"/>
      <c r="D366" s="11"/>
    </row>
    <row r="367">
      <c r="A367" s="11"/>
      <c r="B367" s="11"/>
      <c r="C367" s="11"/>
      <c r="D367" s="11"/>
    </row>
    <row r="368">
      <c r="A368" s="11"/>
      <c r="B368" s="11"/>
      <c r="C368" s="11"/>
      <c r="D368" s="11"/>
    </row>
    <row r="369">
      <c r="A369" s="11"/>
      <c r="B369" s="11"/>
      <c r="C369" s="11"/>
      <c r="D369" s="11"/>
    </row>
    <row r="370">
      <c r="A370" s="11"/>
      <c r="B370" s="11"/>
      <c r="C370" s="11"/>
      <c r="D370" s="11"/>
    </row>
    <row r="371">
      <c r="A371" s="11"/>
      <c r="B371" s="11"/>
      <c r="C371" s="11"/>
      <c r="D371" s="11"/>
    </row>
    <row r="372">
      <c r="A372" s="11"/>
      <c r="B372" s="11"/>
      <c r="C372" s="11"/>
      <c r="D372" s="11"/>
    </row>
    <row r="373">
      <c r="A373" s="11"/>
      <c r="B373" s="11"/>
      <c r="C373" s="11"/>
      <c r="D373" s="11"/>
    </row>
    <row r="374">
      <c r="A374" s="11"/>
      <c r="B374" s="11"/>
      <c r="C374" s="11"/>
      <c r="D374" s="11"/>
    </row>
    <row r="375">
      <c r="A375" s="11"/>
      <c r="B375" s="11"/>
      <c r="C375" s="11"/>
      <c r="D375" s="11"/>
    </row>
    <row r="376">
      <c r="A376" s="11"/>
      <c r="B376" s="11"/>
      <c r="C376" s="11"/>
      <c r="D376" s="11"/>
    </row>
    <row r="377">
      <c r="A377" s="11"/>
      <c r="B377" s="11"/>
      <c r="C377" s="11"/>
      <c r="D377" s="11"/>
    </row>
    <row r="378">
      <c r="A378" s="11"/>
      <c r="B378" s="11"/>
      <c r="C378" s="11"/>
      <c r="D378" s="11"/>
    </row>
    <row r="379">
      <c r="A379" s="11"/>
      <c r="B379" s="11"/>
      <c r="C379" s="11"/>
      <c r="D379" s="11"/>
    </row>
    <row r="380">
      <c r="A380" s="11"/>
      <c r="B380" s="11"/>
      <c r="C380" s="11"/>
      <c r="D380" s="11"/>
    </row>
    <row r="381">
      <c r="A381" s="11"/>
      <c r="B381" s="11"/>
      <c r="C381" s="11"/>
      <c r="D381" s="11"/>
    </row>
    <row r="382">
      <c r="A382" s="11"/>
      <c r="B382" s="11"/>
      <c r="C382" s="11"/>
      <c r="D382" s="11"/>
    </row>
    <row r="383">
      <c r="A383" s="11"/>
      <c r="B383" s="11"/>
      <c r="C383" s="11"/>
      <c r="D383" s="11"/>
    </row>
    <row r="384">
      <c r="A384" s="11"/>
      <c r="B384" s="11"/>
      <c r="C384" s="11"/>
      <c r="D384" s="11"/>
    </row>
    <row r="385">
      <c r="A385" s="11"/>
      <c r="B385" s="11"/>
      <c r="C385" s="11"/>
      <c r="D385" s="11"/>
    </row>
    <row r="386">
      <c r="A386" s="11"/>
      <c r="B386" s="11"/>
      <c r="C386" s="11"/>
      <c r="D386" s="11"/>
    </row>
    <row r="387">
      <c r="A387" s="11"/>
      <c r="B387" s="11"/>
      <c r="C387" s="11"/>
      <c r="D387" s="11"/>
    </row>
    <row r="388">
      <c r="A388" s="11"/>
      <c r="B388" s="11"/>
      <c r="C388" s="11"/>
      <c r="D388" s="11"/>
    </row>
    <row r="389">
      <c r="A389" s="11"/>
      <c r="B389" s="11"/>
      <c r="C389" s="11"/>
      <c r="D389" s="11"/>
    </row>
    <row r="390">
      <c r="A390" s="11"/>
      <c r="B390" s="11"/>
      <c r="C390" s="11"/>
      <c r="D390" s="11"/>
    </row>
    <row r="391">
      <c r="A391" s="11"/>
      <c r="B391" s="11"/>
      <c r="C391" s="11"/>
      <c r="D391" s="11"/>
    </row>
    <row r="392">
      <c r="A392" s="11"/>
      <c r="B392" s="11"/>
      <c r="C392" s="11"/>
      <c r="D392" s="11"/>
    </row>
    <row r="393">
      <c r="A393" s="11"/>
      <c r="B393" s="11"/>
      <c r="C393" s="11"/>
      <c r="D393" s="11"/>
    </row>
    <row r="394">
      <c r="A394" s="11"/>
      <c r="B394" s="11"/>
      <c r="C394" s="11"/>
      <c r="D394" s="11"/>
    </row>
    <row r="395">
      <c r="A395" s="11"/>
      <c r="B395" s="11"/>
      <c r="C395" s="11"/>
      <c r="D395" s="11"/>
    </row>
    <row r="396">
      <c r="A396" s="11"/>
      <c r="B396" s="11"/>
      <c r="C396" s="11"/>
      <c r="D396" s="11"/>
    </row>
    <row r="397">
      <c r="A397" s="11"/>
      <c r="B397" s="11"/>
      <c r="C397" s="11"/>
      <c r="D397" s="11"/>
    </row>
    <row r="398">
      <c r="A398" s="11"/>
      <c r="B398" s="11"/>
      <c r="C398" s="11"/>
      <c r="D398" s="11"/>
    </row>
    <row r="399">
      <c r="A399" s="11"/>
      <c r="B399" s="11"/>
      <c r="C399" s="11"/>
      <c r="D399" s="11"/>
    </row>
    <row r="400">
      <c r="A400" s="11"/>
      <c r="B400" s="11"/>
      <c r="C400" s="11"/>
      <c r="D400" s="11"/>
    </row>
    <row r="401">
      <c r="A401" s="11"/>
      <c r="B401" s="11"/>
      <c r="C401" s="11"/>
      <c r="D401" s="11"/>
    </row>
    <row r="402">
      <c r="A402" s="11"/>
      <c r="B402" s="11"/>
      <c r="C402" s="11"/>
      <c r="D402" s="11"/>
    </row>
    <row r="403">
      <c r="A403" s="11"/>
      <c r="B403" s="11"/>
      <c r="C403" s="11"/>
      <c r="D403" s="11"/>
    </row>
    <row r="404">
      <c r="A404" s="11"/>
      <c r="B404" s="11"/>
      <c r="C404" s="11"/>
      <c r="D404" s="11"/>
    </row>
    <row r="405">
      <c r="A405" s="11"/>
      <c r="B405" s="11"/>
      <c r="C405" s="11"/>
      <c r="D405" s="11"/>
    </row>
    <row r="406">
      <c r="A406" s="11"/>
      <c r="B406" s="11"/>
      <c r="C406" s="11"/>
      <c r="D406" s="11"/>
    </row>
    <row r="407">
      <c r="A407" s="11"/>
      <c r="B407" s="11"/>
      <c r="C407" s="11"/>
      <c r="D407" s="11"/>
    </row>
    <row r="408">
      <c r="A408" s="11"/>
      <c r="B408" s="11"/>
      <c r="C408" s="11"/>
      <c r="D408" s="11"/>
    </row>
    <row r="409">
      <c r="A409" s="11"/>
      <c r="B409" s="11"/>
      <c r="C409" s="11"/>
      <c r="D409" s="11"/>
    </row>
    <row r="410">
      <c r="A410" s="11"/>
      <c r="B410" s="11"/>
      <c r="C410" s="11"/>
      <c r="D410" s="11"/>
    </row>
    <row r="411">
      <c r="A411" s="11"/>
      <c r="B411" s="11"/>
      <c r="C411" s="11"/>
      <c r="D411" s="11"/>
    </row>
    <row r="412">
      <c r="A412" s="11"/>
      <c r="B412" s="11"/>
      <c r="C412" s="11"/>
      <c r="D412" s="11"/>
    </row>
    <row r="413">
      <c r="A413" s="11"/>
      <c r="B413" s="11"/>
      <c r="C413" s="11"/>
      <c r="D413" s="11"/>
    </row>
    <row r="414">
      <c r="A414" s="11"/>
      <c r="B414" s="11"/>
      <c r="C414" s="11"/>
      <c r="D414" s="11"/>
    </row>
    <row r="415">
      <c r="A415" s="11"/>
      <c r="B415" s="11"/>
      <c r="C415" s="11"/>
      <c r="D415" s="11"/>
    </row>
    <row r="416">
      <c r="A416" s="11"/>
      <c r="B416" s="11"/>
      <c r="C416" s="11"/>
      <c r="D416" s="11"/>
    </row>
    <row r="417">
      <c r="A417" s="11"/>
      <c r="B417" s="11"/>
      <c r="C417" s="11"/>
      <c r="D417" s="11"/>
    </row>
    <row r="418">
      <c r="A418" s="11"/>
      <c r="B418" s="11"/>
      <c r="C418" s="11"/>
      <c r="D418" s="11"/>
    </row>
    <row r="419">
      <c r="A419" s="11"/>
      <c r="B419" s="11"/>
      <c r="C419" s="11"/>
      <c r="D419" s="11"/>
    </row>
    <row r="420">
      <c r="A420" s="11"/>
      <c r="B420" s="11"/>
      <c r="C420" s="11"/>
      <c r="D420" s="11"/>
    </row>
    <row r="421">
      <c r="A421" s="11"/>
      <c r="B421" s="11"/>
      <c r="C421" s="11"/>
      <c r="D421" s="11"/>
    </row>
    <row r="422">
      <c r="A422" s="11"/>
      <c r="B422" s="11"/>
      <c r="C422" s="11"/>
      <c r="D422" s="11"/>
    </row>
    <row r="423">
      <c r="A423" s="11"/>
      <c r="B423" s="11"/>
      <c r="C423" s="11"/>
      <c r="D423" s="11"/>
    </row>
    <row r="424">
      <c r="A424" s="11"/>
      <c r="B424" s="11"/>
      <c r="C424" s="11"/>
      <c r="D424" s="11"/>
    </row>
    <row r="425">
      <c r="A425" s="11"/>
      <c r="B425" s="11"/>
      <c r="C425" s="11"/>
      <c r="D425" s="11"/>
    </row>
    <row r="426">
      <c r="A426" s="11"/>
      <c r="B426" s="11"/>
      <c r="C426" s="11"/>
      <c r="D426" s="11"/>
    </row>
    <row r="427">
      <c r="A427" s="11"/>
      <c r="B427" s="11"/>
      <c r="C427" s="11"/>
      <c r="D427" s="11"/>
    </row>
    <row r="428">
      <c r="A428" s="11"/>
      <c r="B428" s="11"/>
      <c r="C428" s="11"/>
      <c r="D428" s="11"/>
    </row>
    <row r="429">
      <c r="A429" s="11"/>
      <c r="B429" s="11"/>
      <c r="C429" s="11"/>
      <c r="D429" s="11"/>
    </row>
    <row r="430">
      <c r="A430" s="11"/>
      <c r="B430" s="11"/>
      <c r="C430" s="11"/>
      <c r="D430" s="11"/>
    </row>
    <row r="431">
      <c r="A431" s="11"/>
      <c r="B431" s="11"/>
      <c r="C431" s="11"/>
      <c r="D431" s="11"/>
    </row>
    <row r="432">
      <c r="A432" s="11"/>
      <c r="B432" s="11"/>
      <c r="C432" s="11"/>
      <c r="D432" s="11"/>
    </row>
    <row r="433">
      <c r="A433" s="11"/>
      <c r="B433" s="11"/>
      <c r="C433" s="11"/>
      <c r="D433" s="11"/>
    </row>
    <row r="434">
      <c r="A434" s="11"/>
      <c r="B434" s="11"/>
      <c r="C434" s="11"/>
      <c r="D434" s="11"/>
    </row>
    <row r="435">
      <c r="A435" s="11"/>
      <c r="B435" s="11"/>
      <c r="C435" s="11"/>
      <c r="D435" s="11"/>
    </row>
    <row r="436">
      <c r="A436" s="11"/>
      <c r="B436" s="11"/>
      <c r="C436" s="11"/>
      <c r="D436" s="11"/>
    </row>
    <row r="437">
      <c r="A437" s="11"/>
      <c r="B437" s="11"/>
      <c r="C437" s="11"/>
      <c r="D437" s="11"/>
    </row>
    <row r="438">
      <c r="A438" s="11"/>
      <c r="B438" s="11"/>
      <c r="C438" s="11"/>
      <c r="D438" s="11"/>
    </row>
    <row r="439">
      <c r="A439" s="11"/>
      <c r="B439" s="11"/>
      <c r="C439" s="11"/>
      <c r="D439" s="11"/>
    </row>
    <row r="440">
      <c r="A440" s="11"/>
      <c r="B440" s="11"/>
      <c r="C440" s="11"/>
      <c r="D440" s="11"/>
    </row>
    <row r="441">
      <c r="A441" s="11"/>
      <c r="B441" s="11"/>
      <c r="C441" s="11"/>
      <c r="D441" s="11"/>
    </row>
    <row r="442">
      <c r="A442" s="11"/>
      <c r="B442" s="11"/>
      <c r="C442" s="11"/>
      <c r="D442" s="11"/>
    </row>
    <row r="443">
      <c r="A443" s="11"/>
      <c r="B443" s="11"/>
      <c r="C443" s="11"/>
      <c r="D443" s="11"/>
    </row>
    <row r="444">
      <c r="A444" s="11"/>
      <c r="B444" s="11"/>
      <c r="C444" s="11"/>
      <c r="D444" s="11"/>
    </row>
    <row r="445">
      <c r="A445" s="11"/>
      <c r="B445" s="11"/>
      <c r="C445" s="11"/>
      <c r="D445" s="11"/>
    </row>
    <row r="446">
      <c r="A446" s="11"/>
      <c r="B446" s="11"/>
      <c r="C446" s="11"/>
      <c r="D446" s="11"/>
    </row>
    <row r="447">
      <c r="A447" s="11"/>
      <c r="B447" s="11"/>
      <c r="C447" s="11"/>
      <c r="D447" s="11"/>
    </row>
    <row r="448">
      <c r="A448" s="11"/>
      <c r="B448" s="11"/>
      <c r="C448" s="11"/>
      <c r="D448" s="11"/>
    </row>
    <row r="449">
      <c r="A449" s="11"/>
      <c r="B449" s="11"/>
      <c r="C449" s="11"/>
      <c r="D449" s="11"/>
    </row>
    <row r="450">
      <c r="A450" s="11"/>
      <c r="B450" s="11"/>
      <c r="C450" s="11"/>
      <c r="D450" s="11"/>
    </row>
    <row r="451">
      <c r="A451" s="11"/>
      <c r="B451" s="11"/>
      <c r="C451" s="11"/>
      <c r="D451" s="11"/>
    </row>
    <row r="452">
      <c r="A452" s="11"/>
      <c r="B452" s="11"/>
      <c r="C452" s="11"/>
      <c r="D452" s="11"/>
    </row>
    <row r="453">
      <c r="A453" s="11"/>
      <c r="B453" s="11"/>
      <c r="C453" s="11"/>
      <c r="D453" s="11"/>
    </row>
    <row r="454">
      <c r="A454" s="11"/>
      <c r="B454" s="11"/>
      <c r="C454" s="11"/>
      <c r="D454" s="11"/>
    </row>
    <row r="455">
      <c r="A455" s="11"/>
      <c r="B455" s="11"/>
      <c r="C455" s="11"/>
      <c r="D455" s="11"/>
    </row>
    <row r="456">
      <c r="A456" s="11"/>
      <c r="B456" s="11"/>
      <c r="C456" s="11"/>
      <c r="D456" s="11"/>
    </row>
    <row r="457">
      <c r="A457" s="11"/>
      <c r="B457" s="11"/>
      <c r="C457" s="11"/>
      <c r="D457" s="11"/>
    </row>
    <row r="458">
      <c r="A458" s="11"/>
      <c r="B458" s="11"/>
      <c r="C458" s="11"/>
      <c r="D458" s="11"/>
    </row>
    <row r="459">
      <c r="A459" s="11"/>
      <c r="B459" s="11"/>
      <c r="C459" s="11"/>
      <c r="D459" s="11"/>
    </row>
    <row r="460">
      <c r="A460" s="11"/>
      <c r="B460" s="11"/>
      <c r="C460" s="11"/>
      <c r="D460" s="11"/>
    </row>
    <row r="461">
      <c r="A461" s="11"/>
      <c r="B461" s="11"/>
      <c r="C461" s="11"/>
      <c r="D461" s="11"/>
    </row>
    <row r="462">
      <c r="A462" s="11"/>
      <c r="B462" s="11"/>
      <c r="C462" s="11"/>
      <c r="D462" s="11"/>
    </row>
    <row r="463">
      <c r="A463" s="11"/>
      <c r="B463" s="11"/>
      <c r="C463" s="11"/>
      <c r="D463" s="11"/>
    </row>
    <row r="464">
      <c r="A464" s="11"/>
      <c r="B464" s="11"/>
      <c r="C464" s="11"/>
      <c r="D464" s="11"/>
    </row>
    <row r="465">
      <c r="A465" s="11"/>
      <c r="B465" s="11"/>
      <c r="C465" s="11"/>
      <c r="D465" s="11"/>
    </row>
    <row r="466">
      <c r="A466" s="11"/>
      <c r="B466" s="11"/>
      <c r="C466" s="11"/>
      <c r="D466" s="11"/>
    </row>
    <row r="467">
      <c r="A467" s="11"/>
      <c r="B467" s="11"/>
      <c r="C467" s="11"/>
      <c r="D467" s="11"/>
    </row>
    <row r="468">
      <c r="A468" s="11"/>
      <c r="B468" s="11"/>
      <c r="C468" s="11"/>
      <c r="D468" s="11"/>
    </row>
    <row r="469">
      <c r="A469" s="11"/>
      <c r="B469" s="11"/>
      <c r="C469" s="11"/>
      <c r="D469" s="11"/>
    </row>
    <row r="470">
      <c r="A470" s="11"/>
      <c r="B470" s="11"/>
      <c r="C470" s="11"/>
      <c r="D470" s="11"/>
    </row>
    <row r="471">
      <c r="A471" s="11"/>
      <c r="B471" s="11"/>
      <c r="C471" s="11"/>
      <c r="D471" s="11"/>
    </row>
    <row r="472">
      <c r="A472" s="11"/>
      <c r="B472" s="11"/>
      <c r="C472" s="11"/>
      <c r="D472" s="11"/>
    </row>
    <row r="473">
      <c r="A473" s="11"/>
      <c r="B473" s="11"/>
      <c r="C473" s="11"/>
      <c r="D473" s="11"/>
    </row>
    <row r="474">
      <c r="A474" s="11"/>
      <c r="B474" s="11"/>
      <c r="C474" s="11"/>
      <c r="D474" s="11"/>
    </row>
    <row r="475">
      <c r="A475" s="11"/>
      <c r="B475" s="11"/>
      <c r="C475" s="11"/>
      <c r="D475" s="11"/>
    </row>
    <row r="476">
      <c r="A476" s="11"/>
      <c r="B476" s="11"/>
      <c r="C476" s="11"/>
      <c r="D476" s="11"/>
    </row>
    <row r="477">
      <c r="A477" s="11"/>
      <c r="B477" s="11"/>
      <c r="C477" s="11"/>
      <c r="D477" s="11"/>
    </row>
    <row r="478">
      <c r="A478" s="11"/>
      <c r="B478" s="11"/>
      <c r="C478" s="11"/>
      <c r="D478" s="11"/>
    </row>
    <row r="479">
      <c r="A479" s="11"/>
      <c r="B479" s="11"/>
      <c r="C479" s="11"/>
      <c r="D479" s="11"/>
    </row>
    <row r="480">
      <c r="A480" s="11"/>
      <c r="B480" s="11"/>
      <c r="C480" s="11"/>
      <c r="D480" s="11"/>
    </row>
    <row r="481">
      <c r="A481" s="11"/>
      <c r="B481" s="11"/>
      <c r="C481" s="11"/>
      <c r="D481" s="11"/>
    </row>
    <row r="482">
      <c r="A482" s="11"/>
      <c r="B482" s="11"/>
      <c r="C482" s="11"/>
      <c r="D482" s="11"/>
    </row>
    <row r="483">
      <c r="A483" s="11"/>
      <c r="B483" s="11"/>
      <c r="C483" s="11"/>
      <c r="D483" s="11"/>
    </row>
    <row r="484">
      <c r="A484" s="11"/>
      <c r="B484" s="11"/>
      <c r="C484" s="11"/>
      <c r="D484" s="11"/>
    </row>
    <row r="485">
      <c r="A485" s="11"/>
      <c r="B485" s="11"/>
      <c r="C485" s="11"/>
      <c r="D485" s="11"/>
    </row>
    <row r="486">
      <c r="A486" s="11"/>
      <c r="B486" s="11"/>
      <c r="C486" s="11"/>
      <c r="D486" s="11"/>
    </row>
    <row r="487">
      <c r="A487" s="11"/>
      <c r="B487" s="11"/>
      <c r="C487" s="11"/>
      <c r="D487" s="11"/>
    </row>
    <row r="488">
      <c r="A488" s="11"/>
      <c r="B488" s="11"/>
      <c r="C488" s="11"/>
      <c r="D488" s="11"/>
    </row>
    <row r="489">
      <c r="A489" s="11"/>
      <c r="B489" s="11"/>
      <c r="C489" s="11"/>
      <c r="D489" s="11"/>
    </row>
    <row r="490">
      <c r="A490" s="11"/>
      <c r="B490" s="11"/>
      <c r="C490" s="11"/>
      <c r="D490" s="11"/>
    </row>
    <row r="491">
      <c r="A491" s="11"/>
      <c r="B491" s="11"/>
      <c r="C491" s="11"/>
      <c r="D491" s="11"/>
    </row>
    <row r="492">
      <c r="A492" s="11"/>
      <c r="B492" s="11"/>
      <c r="C492" s="11"/>
      <c r="D492" s="11"/>
    </row>
    <row r="493">
      <c r="A493" s="11"/>
      <c r="B493" s="11"/>
      <c r="C493" s="11"/>
      <c r="D493" s="11"/>
    </row>
    <row r="494">
      <c r="A494" s="11"/>
      <c r="B494" s="11"/>
      <c r="C494" s="11"/>
      <c r="D494" s="11"/>
    </row>
    <row r="495">
      <c r="A495" s="11"/>
      <c r="B495" s="11"/>
      <c r="C495" s="11"/>
      <c r="D495" s="11"/>
    </row>
    <row r="496">
      <c r="A496" s="11"/>
      <c r="B496" s="11"/>
      <c r="C496" s="11"/>
      <c r="D496" s="11"/>
    </row>
    <row r="497">
      <c r="A497" s="11"/>
      <c r="B497" s="11"/>
      <c r="C497" s="11"/>
      <c r="D497" s="11"/>
    </row>
    <row r="498">
      <c r="A498" s="11"/>
      <c r="B498" s="11"/>
      <c r="C498" s="11"/>
      <c r="D498" s="11"/>
    </row>
    <row r="499">
      <c r="A499" s="11"/>
      <c r="B499" s="11"/>
      <c r="C499" s="11"/>
      <c r="D499" s="11"/>
    </row>
    <row r="500">
      <c r="A500" s="11"/>
      <c r="B500" s="11"/>
      <c r="C500" s="11"/>
      <c r="D500" s="11"/>
    </row>
    <row r="501">
      <c r="A501" s="11"/>
      <c r="B501" s="11"/>
      <c r="C501" s="11"/>
      <c r="D501" s="11"/>
    </row>
    <row r="502">
      <c r="A502" s="11"/>
      <c r="B502" s="11"/>
      <c r="C502" s="11"/>
      <c r="D502" s="11"/>
    </row>
    <row r="503">
      <c r="A503" s="11"/>
      <c r="B503" s="11"/>
      <c r="C503" s="11"/>
      <c r="D503" s="11"/>
    </row>
    <row r="504">
      <c r="A504" s="11"/>
      <c r="B504" s="11"/>
      <c r="C504" s="11"/>
      <c r="D504" s="11"/>
    </row>
    <row r="505">
      <c r="A505" s="11"/>
      <c r="B505" s="11"/>
      <c r="C505" s="11"/>
      <c r="D505" s="11"/>
    </row>
    <row r="506">
      <c r="A506" s="11"/>
      <c r="B506" s="11"/>
      <c r="C506" s="11"/>
      <c r="D506" s="11"/>
    </row>
    <row r="507">
      <c r="A507" s="11"/>
      <c r="B507" s="11"/>
      <c r="C507" s="11"/>
      <c r="D507" s="11"/>
    </row>
    <row r="508">
      <c r="A508" s="11"/>
      <c r="B508" s="11"/>
      <c r="C508" s="11"/>
      <c r="D508" s="11"/>
    </row>
    <row r="509">
      <c r="A509" s="11"/>
      <c r="B509" s="11"/>
      <c r="C509" s="11"/>
      <c r="D509" s="11"/>
    </row>
    <row r="510">
      <c r="A510" s="11"/>
      <c r="B510" s="11"/>
      <c r="C510" s="11"/>
      <c r="D510" s="11"/>
    </row>
    <row r="511">
      <c r="A511" s="11"/>
      <c r="B511" s="11"/>
      <c r="C511" s="11"/>
      <c r="D511" s="11"/>
    </row>
    <row r="512">
      <c r="A512" s="11"/>
      <c r="B512" s="11"/>
      <c r="C512" s="11"/>
      <c r="D512" s="11"/>
    </row>
    <row r="513">
      <c r="A513" s="11"/>
      <c r="B513" s="11"/>
      <c r="C513" s="11"/>
      <c r="D513" s="11"/>
    </row>
    <row r="514">
      <c r="A514" s="11"/>
      <c r="B514" s="11"/>
      <c r="C514" s="11"/>
      <c r="D514" s="11"/>
    </row>
    <row r="515">
      <c r="A515" s="11"/>
      <c r="B515" s="11"/>
      <c r="C515" s="11"/>
      <c r="D515" s="11"/>
    </row>
    <row r="516">
      <c r="A516" s="11"/>
      <c r="B516" s="11"/>
      <c r="C516" s="11"/>
      <c r="D516" s="11"/>
    </row>
    <row r="517">
      <c r="A517" s="11"/>
      <c r="B517" s="11"/>
      <c r="C517" s="11"/>
      <c r="D517" s="11"/>
    </row>
    <row r="518">
      <c r="A518" s="11"/>
      <c r="B518" s="11"/>
      <c r="C518" s="11"/>
      <c r="D518" s="11"/>
    </row>
    <row r="519">
      <c r="A519" s="11"/>
      <c r="B519" s="11"/>
      <c r="C519" s="11"/>
      <c r="D519" s="11"/>
    </row>
    <row r="520">
      <c r="A520" s="11"/>
      <c r="B520" s="11"/>
      <c r="C520" s="11"/>
      <c r="D520" s="11"/>
    </row>
    <row r="521">
      <c r="A521" s="11"/>
      <c r="B521" s="11"/>
      <c r="C521" s="11"/>
      <c r="D521" s="11"/>
    </row>
    <row r="522">
      <c r="A522" s="11"/>
      <c r="B522" s="11"/>
      <c r="C522" s="11"/>
      <c r="D522" s="11"/>
    </row>
    <row r="523">
      <c r="A523" s="11"/>
      <c r="B523" s="11"/>
      <c r="C523" s="11"/>
      <c r="D523" s="11"/>
    </row>
    <row r="524">
      <c r="A524" s="11"/>
      <c r="B524" s="11"/>
      <c r="C524" s="11"/>
      <c r="D524" s="11"/>
    </row>
    <row r="525">
      <c r="A525" s="11"/>
      <c r="B525" s="11"/>
      <c r="C525" s="11"/>
      <c r="D525" s="11"/>
    </row>
    <row r="526">
      <c r="A526" s="11"/>
      <c r="B526" s="11"/>
      <c r="C526" s="11"/>
      <c r="D526" s="11"/>
    </row>
    <row r="527">
      <c r="A527" s="11"/>
      <c r="B527" s="11"/>
      <c r="C527" s="11"/>
      <c r="D527" s="11"/>
    </row>
    <row r="528">
      <c r="A528" s="11"/>
      <c r="B528" s="11"/>
      <c r="C528" s="11"/>
      <c r="D528" s="11"/>
    </row>
    <row r="529">
      <c r="A529" s="11"/>
      <c r="B529" s="11"/>
      <c r="C529" s="11"/>
      <c r="D529" s="11"/>
    </row>
    <row r="530">
      <c r="A530" s="11"/>
      <c r="B530" s="11"/>
      <c r="C530" s="11"/>
      <c r="D530" s="11"/>
    </row>
    <row r="531">
      <c r="A531" s="11"/>
      <c r="B531" s="11"/>
      <c r="C531" s="11"/>
      <c r="D531" s="11"/>
    </row>
    <row r="532">
      <c r="A532" s="11"/>
      <c r="B532" s="11"/>
      <c r="C532" s="11"/>
      <c r="D532" s="11"/>
    </row>
    <row r="533">
      <c r="A533" s="11"/>
      <c r="B533" s="11"/>
      <c r="C533" s="11"/>
      <c r="D533" s="11"/>
    </row>
    <row r="534">
      <c r="A534" s="11"/>
      <c r="B534" s="11"/>
      <c r="C534" s="11"/>
      <c r="D534" s="11"/>
    </row>
    <row r="535">
      <c r="A535" s="11"/>
      <c r="B535" s="11"/>
      <c r="C535" s="11"/>
      <c r="D535" s="11"/>
    </row>
    <row r="536">
      <c r="A536" s="11"/>
      <c r="B536" s="11"/>
      <c r="C536" s="11"/>
      <c r="D536" s="11"/>
    </row>
    <row r="537">
      <c r="A537" s="11"/>
      <c r="B537" s="11"/>
      <c r="C537" s="11"/>
      <c r="D537" s="11"/>
    </row>
    <row r="538">
      <c r="A538" s="11"/>
      <c r="B538" s="11"/>
      <c r="C538" s="11"/>
      <c r="D538" s="11"/>
    </row>
    <row r="539">
      <c r="A539" s="11"/>
      <c r="B539" s="11"/>
      <c r="C539" s="11"/>
      <c r="D539" s="11"/>
    </row>
    <row r="540">
      <c r="A540" s="11"/>
      <c r="B540" s="11"/>
      <c r="C540" s="11"/>
      <c r="D540" s="11"/>
    </row>
    <row r="541">
      <c r="A541" s="11"/>
      <c r="B541" s="11"/>
      <c r="C541" s="11"/>
      <c r="D541" s="11"/>
    </row>
    <row r="542">
      <c r="A542" s="11"/>
      <c r="B542" s="11"/>
      <c r="C542" s="11"/>
      <c r="D542" s="11"/>
    </row>
    <row r="543">
      <c r="A543" s="11"/>
      <c r="B543" s="11"/>
      <c r="C543" s="11"/>
      <c r="D543" s="11"/>
    </row>
    <row r="544">
      <c r="A544" s="11"/>
      <c r="B544" s="11"/>
      <c r="C544" s="11"/>
      <c r="D544" s="11"/>
    </row>
    <row r="545">
      <c r="A545" s="11"/>
      <c r="B545" s="11"/>
      <c r="C545" s="11"/>
      <c r="D545" s="11"/>
    </row>
    <row r="546">
      <c r="A546" s="11"/>
      <c r="B546" s="11"/>
      <c r="C546" s="11"/>
      <c r="D546" s="11"/>
    </row>
    <row r="547">
      <c r="A547" s="11"/>
      <c r="B547" s="11"/>
      <c r="C547" s="11"/>
      <c r="D547" s="11"/>
    </row>
    <row r="548">
      <c r="A548" s="11"/>
      <c r="B548" s="11"/>
      <c r="C548" s="11"/>
      <c r="D548" s="11"/>
    </row>
    <row r="549">
      <c r="A549" s="11"/>
      <c r="B549" s="11"/>
      <c r="C549" s="11"/>
      <c r="D549" s="11"/>
    </row>
    <row r="550">
      <c r="A550" s="11"/>
      <c r="B550" s="11"/>
      <c r="C550" s="11"/>
      <c r="D550" s="11"/>
    </row>
    <row r="551">
      <c r="A551" s="11"/>
      <c r="B551" s="11"/>
      <c r="C551" s="11"/>
      <c r="D551" s="11"/>
    </row>
    <row r="552">
      <c r="A552" s="11"/>
      <c r="B552" s="11"/>
      <c r="C552" s="11"/>
      <c r="D552" s="11"/>
    </row>
    <row r="553">
      <c r="A553" s="11"/>
      <c r="B553" s="11"/>
      <c r="C553" s="11"/>
      <c r="D553" s="11"/>
    </row>
    <row r="554">
      <c r="A554" s="11"/>
      <c r="B554" s="11"/>
      <c r="C554" s="11"/>
      <c r="D554" s="11"/>
    </row>
    <row r="555">
      <c r="A555" s="11"/>
      <c r="B555" s="11"/>
      <c r="C555" s="11"/>
      <c r="D555" s="11"/>
    </row>
    <row r="556">
      <c r="A556" s="11"/>
      <c r="B556" s="11"/>
      <c r="C556" s="11"/>
      <c r="D556" s="11"/>
    </row>
    <row r="557">
      <c r="A557" s="11"/>
      <c r="B557" s="11"/>
      <c r="C557" s="11"/>
      <c r="D557" s="11"/>
    </row>
    <row r="558">
      <c r="A558" s="11"/>
      <c r="B558" s="11"/>
      <c r="C558" s="11"/>
      <c r="D558" s="11"/>
    </row>
    <row r="559">
      <c r="A559" s="11"/>
      <c r="B559" s="11"/>
      <c r="C559" s="11"/>
      <c r="D559" s="11"/>
    </row>
    <row r="560">
      <c r="A560" s="11"/>
      <c r="B560" s="11"/>
      <c r="C560" s="11"/>
      <c r="D560" s="11"/>
    </row>
    <row r="561">
      <c r="A561" s="11"/>
      <c r="B561" s="11"/>
      <c r="C561" s="11"/>
      <c r="D561" s="11"/>
    </row>
    <row r="562">
      <c r="A562" s="11"/>
      <c r="B562" s="11"/>
      <c r="C562" s="11"/>
      <c r="D562" s="11"/>
    </row>
    <row r="563">
      <c r="A563" s="11"/>
      <c r="B563" s="11"/>
      <c r="C563" s="11"/>
      <c r="D563" s="11"/>
    </row>
    <row r="564">
      <c r="A564" s="11"/>
      <c r="B564" s="11"/>
      <c r="C564" s="11"/>
      <c r="D564" s="11"/>
    </row>
    <row r="565">
      <c r="A565" s="11"/>
      <c r="B565" s="11"/>
      <c r="C565" s="11"/>
      <c r="D565" s="11"/>
    </row>
    <row r="566">
      <c r="A566" s="11"/>
      <c r="B566" s="11"/>
      <c r="C566" s="11"/>
      <c r="D566" s="11"/>
    </row>
    <row r="567">
      <c r="A567" s="11"/>
      <c r="B567" s="11"/>
      <c r="C567" s="11"/>
      <c r="D567" s="11"/>
    </row>
    <row r="568">
      <c r="A568" s="11"/>
      <c r="B568" s="11"/>
      <c r="C568" s="11"/>
      <c r="D568" s="11"/>
    </row>
    <row r="569">
      <c r="A569" s="11"/>
      <c r="B569" s="11"/>
      <c r="C569" s="11"/>
      <c r="D569" s="11"/>
    </row>
    <row r="570">
      <c r="A570" s="11"/>
      <c r="B570" s="11"/>
      <c r="C570" s="11"/>
      <c r="D570" s="11"/>
    </row>
    <row r="571">
      <c r="A571" s="11"/>
      <c r="B571" s="11"/>
      <c r="C571" s="11"/>
      <c r="D571" s="11"/>
    </row>
    <row r="572">
      <c r="A572" s="11"/>
      <c r="B572" s="11"/>
      <c r="C572" s="11"/>
      <c r="D572" s="11"/>
    </row>
    <row r="573">
      <c r="A573" s="11"/>
      <c r="B573" s="11"/>
      <c r="C573" s="11"/>
      <c r="D573" s="11"/>
    </row>
    <row r="574">
      <c r="A574" s="11"/>
      <c r="B574" s="11"/>
      <c r="C574" s="11"/>
      <c r="D574" s="11"/>
    </row>
    <row r="575">
      <c r="A575" s="11"/>
      <c r="B575" s="11"/>
      <c r="C575" s="11"/>
      <c r="D575" s="11"/>
    </row>
    <row r="576">
      <c r="A576" s="11"/>
      <c r="B576" s="11"/>
      <c r="C576" s="11"/>
      <c r="D576" s="11"/>
    </row>
    <row r="577">
      <c r="A577" s="11"/>
      <c r="B577" s="11"/>
      <c r="C577" s="11"/>
      <c r="D577" s="11"/>
    </row>
    <row r="578">
      <c r="A578" s="11"/>
      <c r="B578" s="11"/>
      <c r="C578" s="11"/>
      <c r="D578" s="11"/>
    </row>
    <row r="579">
      <c r="A579" s="11"/>
      <c r="B579" s="11"/>
      <c r="C579" s="11"/>
      <c r="D579" s="11"/>
    </row>
    <row r="580">
      <c r="A580" s="11"/>
      <c r="B580" s="11"/>
      <c r="C580" s="11"/>
      <c r="D580" s="11"/>
    </row>
    <row r="581">
      <c r="A581" s="11"/>
      <c r="B581" s="11"/>
      <c r="C581" s="11"/>
      <c r="D581" s="11"/>
    </row>
    <row r="582">
      <c r="A582" s="11"/>
      <c r="B582" s="11"/>
      <c r="C582" s="11"/>
      <c r="D582" s="11"/>
    </row>
    <row r="583">
      <c r="A583" s="11"/>
      <c r="B583" s="11"/>
      <c r="C583" s="11"/>
      <c r="D583" s="11"/>
    </row>
    <row r="584">
      <c r="A584" s="11"/>
      <c r="B584" s="11"/>
      <c r="C584" s="11"/>
      <c r="D584" s="11"/>
    </row>
    <row r="585">
      <c r="A585" s="11"/>
      <c r="B585" s="11"/>
      <c r="C585" s="11"/>
      <c r="D585" s="11"/>
    </row>
    <row r="586">
      <c r="A586" s="11"/>
      <c r="B586" s="11"/>
      <c r="C586" s="11"/>
      <c r="D586" s="11"/>
    </row>
    <row r="587">
      <c r="A587" s="11"/>
      <c r="B587" s="11"/>
      <c r="C587" s="11"/>
      <c r="D587" s="11"/>
    </row>
    <row r="588">
      <c r="A588" s="11"/>
      <c r="B588" s="11"/>
      <c r="C588" s="11"/>
      <c r="D588" s="11"/>
    </row>
    <row r="589">
      <c r="A589" s="11"/>
      <c r="B589" s="11"/>
      <c r="C589" s="11"/>
      <c r="D589" s="11"/>
    </row>
    <row r="590">
      <c r="A590" s="11"/>
      <c r="B590" s="11"/>
      <c r="C590" s="11"/>
      <c r="D590" s="11"/>
    </row>
    <row r="591">
      <c r="A591" s="11"/>
      <c r="B591" s="11"/>
      <c r="C591" s="11"/>
      <c r="D591" s="11"/>
    </row>
    <row r="592">
      <c r="A592" s="11"/>
      <c r="B592" s="11"/>
      <c r="C592" s="11"/>
      <c r="D592" s="11"/>
    </row>
    <row r="593">
      <c r="A593" s="11"/>
      <c r="B593" s="11"/>
      <c r="C593" s="11"/>
      <c r="D593" s="11"/>
    </row>
    <row r="594">
      <c r="A594" s="11"/>
      <c r="B594" s="11"/>
      <c r="C594" s="11"/>
      <c r="D594" s="11"/>
    </row>
    <row r="595">
      <c r="A595" s="11"/>
      <c r="B595" s="11"/>
      <c r="C595" s="11"/>
      <c r="D595" s="11"/>
    </row>
    <row r="596">
      <c r="A596" s="11"/>
      <c r="B596" s="11"/>
      <c r="C596" s="11"/>
      <c r="D596" s="11"/>
    </row>
    <row r="597">
      <c r="A597" s="11"/>
      <c r="B597" s="11"/>
      <c r="C597" s="11"/>
      <c r="D597" s="11"/>
    </row>
    <row r="598">
      <c r="A598" s="11"/>
      <c r="B598" s="11"/>
      <c r="C598" s="11"/>
      <c r="D598" s="11"/>
    </row>
    <row r="599">
      <c r="A599" s="11"/>
      <c r="B599" s="11"/>
      <c r="C599" s="11"/>
      <c r="D599" s="11"/>
    </row>
    <row r="600">
      <c r="A600" s="11"/>
      <c r="B600" s="11"/>
      <c r="C600" s="11"/>
      <c r="D600" s="11"/>
    </row>
    <row r="601">
      <c r="A601" s="11"/>
      <c r="B601" s="11"/>
      <c r="C601" s="11"/>
      <c r="D601" s="11"/>
    </row>
    <row r="602">
      <c r="A602" s="11"/>
      <c r="B602" s="11"/>
      <c r="C602" s="11"/>
      <c r="D602" s="11"/>
    </row>
    <row r="603">
      <c r="A603" s="11"/>
      <c r="B603" s="11"/>
      <c r="C603" s="11"/>
      <c r="D603" s="11"/>
    </row>
    <row r="604">
      <c r="A604" s="11"/>
      <c r="B604" s="11"/>
      <c r="C604" s="11"/>
      <c r="D604" s="11"/>
    </row>
    <row r="605">
      <c r="A605" s="11"/>
      <c r="B605" s="11"/>
      <c r="C605" s="11"/>
      <c r="D605" s="11"/>
    </row>
    <row r="606">
      <c r="A606" s="11"/>
      <c r="B606" s="11"/>
      <c r="C606" s="11"/>
      <c r="D606" s="11"/>
    </row>
    <row r="607">
      <c r="A607" s="11"/>
      <c r="B607" s="11"/>
      <c r="C607" s="11"/>
      <c r="D607" s="11"/>
    </row>
    <row r="608">
      <c r="A608" s="11"/>
      <c r="B608" s="11"/>
      <c r="C608" s="11"/>
      <c r="D608" s="11"/>
    </row>
    <row r="609">
      <c r="A609" s="11"/>
      <c r="B609" s="11"/>
      <c r="C609" s="11"/>
      <c r="D609" s="11"/>
    </row>
    <row r="610">
      <c r="A610" s="11"/>
      <c r="B610" s="11"/>
      <c r="C610" s="11"/>
      <c r="D610" s="11"/>
    </row>
    <row r="611">
      <c r="A611" s="11"/>
      <c r="B611" s="11"/>
      <c r="C611" s="11"/>
      <c r="D611" s="11"/>
    </row>
    <row r="612">
      <c r="A612" s="11"/>
      <c r="B612" s="11"/>
      <c r="C612" s="11"/>
      <c r="D612" s="11"/>
    </row>
    <row r="613">
      <c r="A613" s="11"/>
      <c r="B613" s="11"/>
      <c r="C613" s="11"/>
      <c r="D613" s="11"/>
    </row>
    <row r="614">
      <c r="A614" s="11"/>
      <c r="B614" s="11"/>
      <c r="C614" s="11"/>
      <c r="D614" s="11"/>
    </row>
    <row r="615">
      <c r="A615" s="11"/>
      <c r="B615" s="11"/>
      <c r="C615" s="11"/>
      <c r="D615" s="11"/>
    </row>
    <row r="616">
      <c r="A616" s="11"/>
      <c r="B616" s="11"/>
      <c r="C616" s="11"/>
      <c r="D616" s="11"/>
    </row>
    <row r="617">
      <c r="A617" s="11"/>
      <c r="B617" s="11"/>
      <c r="C617" s="11"/>
      <c r="D617" s="11"/>
    </row>
    <row r="618">
      <c r="A618" s="11"/>
      <c r="B618" s="11"/>
      <c r="C618" s="11"/>
      <c r="D618" s="11"/>
    </row>
    <row r="619">
      <c r="A619" s="11"/>
      <c r="B619" s="11"/>
      <c r="C619" s="11"/>
      <c r="D619" s="11"/>
    </row>
    <row r="620">
      <c r="A620" s="11"/>
      <c r="B620" s="11"/>
      <c r="C620" s="11"/>
      <c r="D620" s="11"/>
    </row>
    <row r="621">
      <c r="A621" s="11"/>
      <c r="B621" s="11"/>
      <c r="C621" s="11"/>
      <c r="D621" s="11"/>
    </row>
    <row r="622">
      <c r="A622" s="11"/>
      <c r="B622" s="11"/>
      <c r="C622" s="11"/>
      <c r="D622" s="11"/>
    </row>
    <row r="623">
      <c r="A623" s="11"/>
      <c r="B623" s="11"/>
      <c r="C623" s="11"/>
      <c r="D623" s="11"/>
    </row>
    <row r="624">
      <c r="A624" s="11"/>
      <c r="B624" s="11"/>
      <c r="C624" s="11"/>
      <c r="D624" s="11"/>
    </row>
    <row r="625">
      <c r="A625" s="11"/>
      <c r="B625" s="11"/>
      <c r="C625" s="11"/>
      <c r="D625" s="11"/>
    </row>
    <row r="626">
      <c r="A626" s="11"/>
      <c r="B626" s="11"/>
      <c r="C626" s="11"/>
      <c r="D626" s="11"/>
    </row>
    <row r="627">
      <c r="A627" s="11"/>
      <c r="B627" s="11"/>
      <c r="C627" s="11"/>
      <c r="D627" s="11"/>
    </row>
    <row r="628">
      <c r="A628" s="11"/>
      <c r="B628" s="11"/>
      <c r="C628" s="11"/>
      <c r="D628" s="11"/>
    </row>
    <row r="629">
      <c r="A629" s="11"/>
      <c r="B629" s="11"/>
      <c r="C629" s="11"/>
      <c r="D629" s="11"/>
    </row>
    <row r="630">
      <c r="A630" s="11"/>
      <c r="B630" s="11"/>
      <c r="C630" s="11"/>
      <c r="D630" s="11"/>
    </row>
    <row r="631">
      <c r="A631" s="11"/>
      <c r="B631" s="11"/>
      <c r="C631" s="11"/>
      <c r="D631" s="11"/>
    </row>
    <row r="632">
      <c r="A632" s="11"/>
      <c r="B632" s="11"/>
      <c r="C632" s="11"/>
      <c r="D632" s="11"/>
    </row>
    <row r="633">
      <c r="A633" s="11"/>
      <c r="B633" s="11"/>
      <c r="C633" s="11"/>
      <c r="D633" s="11"/>
    </row>
    <row r="634">
      <c r="A634" s="11"/>
      <c r="B634" s="11"/>
      <c r="C634" s="11"/>
      <c r="D634" s="11"/>
    </row>
    <row r="635">
      <c r="A635" s="11"/>
      <c r="B635" s="11"/>
      <c r="C635" s="11"/>
      <c r="D635" s="11"/>
    </row>
    <row r="636">
      <c r="A636" s="11"/>
      <c r="B636" s="11"/>
      <c r="C636" s="11"/>
      <c r="D636" s="11"/>
    </row>
    <row r="637">
      <c r="A637" s="11"/>
      <c r="B637" s="11"/>
      <c r="C637" s="11"/>
      <c r="D637" s="11"/>
    </row>
    <row r="638">
      <c r="A638" s="11"/>
      <c r="B638" s="11"/>
      <c r="C638" s="11"/>
      <c r="D638" s="11"/>
    </row>
    <row r="639">
      <c r="A639" s="11"/>
      <c r="B639" s="11"/>
      <c r="C639" s="11"/>
      <c r="D639" s="11"/>
    </row>
    <row r="640">
      <c r="A640" s="11"/>
      <c r="B640" s="11"/>
      <c r="C640" s="11"/>
      <c r="D640" s="11"/>
    </row>
    <row r="641">
      <c r="A641" s="11"/>
      <c r="B641" s="11"/>
      <c r="C641" s="11"/>
      <c r="D641" s="11"/>
    </row>
    <row r="642">
      <c r="A642" s="11"/>
      <c r="B642" s="11"/>
      <c r="C642" s="11"/>
      <c r="D642" s="11"/>
    </row>
    <row r="643">
      <c r="A643" s="11"/>
      <c r="B643" s="11"/>
      <c r="C643" s="11"/>
      <c r="D643" s="11"/>
    </row>
    <row r="644">
      <c r="A644" s="11"/>
      <c r="B644" s="11"/>
      <c r="C644" s="11"/>
      <c r="D644" s="11"/>
    </row>
    <row r="645">
      <c r="A645" s="11"/>
      <c r="B645" s="11"/>
      <c r="C645" s="11"/>
      <c r="D645" s="11"/>
    </row>
    <row r="646">
      <c r="A646" s="11"/>
      <c r="B646" s="11"/>
      <c r="C646" s="11"/>
      <c r="D646" s="11"/>
    </row>
    <row r="647">
      <c r="A647" s="11"/>
      <c r="B647" s="11"/>
      <c r="C647" s="11"/>
      <c r="D647" s="11"/>
    </row>
    <row r="648">
      <c r="A648" s="11"/>
      <c r="B648" s="11"/>
      <c r="C648" s="11"/>
      <c r="D648" s="11"/>
    </row>
    <row r="649">
      <c r="A649" s="11"/>
      <c r="B649" s="11"/>
      <c r="C649" s="11"/>
      <c r="D649" s="11"/>
    </row>
    <row r="650">
      <c r="A650" s="11"/>
      <c r="B650" s="11"/>
      <c r="C650" s="11"/>
      <c r="D650" s="11"/>
    </row>
    <row r="651">
      <c r="A651" s="11"/>
      <c r="B651" s="11"/>
      <c r="C651" s="11"/>
      <c r="D651" s="11"/>
    </row>
    <row r="652">
      <c r="A652" s="11"/>
      <c r="B652" s="11"/>
      <c r="C652" s="11"/>
      <c r="D652" s="11"/>
    </row>
    <row r="653">
      <c r="A653" s="11"/>
      <c r="B653" s="11"/>
      <c r="C653" s="11"/>
      <c r="D653" s="11"/>
    </row>
    <row r="654">
      <c r="A654" s="11"/>
      <c r="B654" s="11"/>
      <c r="C654" s="11"/>
      <c r="D654" s="11"/>
    </row>
    <row r="655">
      <c r="A655" s="11"/>
      <c r="B655" s="11"/>
      <c r="C655" s="11"/>
      <c r="D655" s="11"/>
    </row>
    <row r="656">
      <c r="A656" s="11"/>
      <c r="B656" s="11"/>
      <c r="C656" s="11"/>
      <c r="D656" s="11"/>
    </row>
    <row r="657">
      <c r="A657" s="11"/>
      <c r="B657" s="11"/>
      <c r="C657" s="11"/>
      <c r="D657" s="11"/>
    </row>
    <row r="658">
      <c r="A658" s="11"/>
      <c r="B658" s="11"/>
      <c r="C658" s="11"/>
      <c r="D658" s="11"/>
    </row>
    <row r="659">
      <c r="A659" s="11"/>
      <c r="B659" s="11"/>
      <c r="C659" s="11"/>
      <c r="D659" s="11"/>
    </row>
    <row r="660">
      <c r="A660" s="11"/>
      <c r="B660" s="11"/>
      <c r="C660" s="11"/>
      <c r="D660" s="11"/>
    </row>
    <row r="661">
      <c r="A661" s="11"/>
      <c r="B661" s="11"/>
      <c r="C661" s="11"/>
      <c r="D661" s="11"/>
    </row>
    <row r="662">
      <c r="A662" s="11"/>
      <c r="B662" s="11"/>
      <c r="C662" s="11"/>
      <c r="D662" s="11"/>
    </row>
    <row r="663">
      <c r="A663" s="11"/>
      <c r="B663" s="11"/>
      <c r="C663" s="11"/>
      <c r="D663" s="11"/>
    </row>
    <row r="664">
      <c r="A664" s="11"/>
      <c r="B664" s="11"/>
      <c r="C664" s="11"/>
      <c r="D664" s="11"/>
    </row>
    <row r="665">
      <c r="A665" s="11"/>
      <c r="B665" s="11"/>
      <c r="C665" s="11"/>
      <c r="D665" s="11"/>
    </row>
    <row r="666">
      <c r="A666" s="11"/>
      <c r="B666" s="11"/>
      <c r="C666" s="11"/>
      <c r="D666" s="11"/>
    </row>
    <row r="667">
      <c r="A667" s="11"/>
      <c r="B667" s="11"/>
      <c r="C667" s="11"/>
      <c r="D667" s="11"/>
    </row>
    <row r="668">
      <c r="A668" s="11"/>
      <c r="B668" s="11"/>
      <c r="C668" s="11"/>
      <c r="D668" s="11"/>
    </row>
    <row r="669">
      <c r="A669" s="11"/>
      <c r="B669" s="11"/>
      <c r="C669" s="11"/>
      <c r="D669" s="11"/>
    </row>
    <row r="670">
      <c r="A670" s="11"/>
      <c r="B670" s="11"/>
      <c r="C670" s="11"/>
      <c r="D670" s="11"/>
    </row>
    <row r="671">
      <c r="A671" s="11"/>
      <c r="B671" s="11"/>
      <c r="C671" s="11"/>
      <c r="D671" s="11"/>
    </row>
    <row r="672">
      <c r="A672" s="11"/>
      <c r="B672" s="11"/>
      <c r="C672" s="11"/>
      <c r="D672" s="11"/>
    </row>
    <row r="673">
      <c r="A673" s="11"/>
      <c r="B673" s="11"/>
      <c r="C673" s="11"/>
      <c r="D673" s="11"/>
    </row>
    <row r="674">
      <c r="A674" s="11"/>
      <c r="B674" s="11"/>
      <c r="C674" s="11"/>
      <c r="D674" s="11"/>
    </row>
    <row r="675">
      <c r="A675" s="11"/>
      <c r="B675" s="11"/>
      <c r="C675" s="11"/>
      <c r="D675" s="11"/>
    </row>
    <row r="676">
      <c r="A676" s="11"/>
      <c r="B676" s="11"/>
      <c r="C676" s="11"/>
      <c r="D676" s="11"/>
    </row>
    <row r="677">
      <c r="A677" s="11"/>
      <c r="B677" s="11"/>
      <c r="C677" s="11"/>
      <c r="D677" s="11"/>
    </row>
    <row r="678">
      <c r="A678" s="11"/>
      <c r="B678" s="11"/>
      <c r="C678" s="11"/>
      <c r="D678" s="11"/>
    </row>
    <row r="679">
      <c r="A679" s="11"/>
      <c r="B679" s="11"/>
      <c r="C679" s="11"/>
      <c r="D679" s="11"/>
    </row>
    <row r="680">
      <c r="A680" s="11"/>
      <c r="B680" s="11"/>
      <c r="C680" s="11"/>
      <c r="D680" s="11"/>
    </row>
    <row r="681">
      <c r="A681" s="11"/>
      <c r="B681" s="11"/>
      <c r="C681" s="11"/>
      <c r="D681" s="11"/>
    </row>
    <row r="682">
      <c r="A682" s="11"/>
      <c r="B682" s="11"/>
      <c r="C682" s="11"/>
      <c r="D682" s="11"/>
    </row>
    <row r="683">
      <c r="A683" s="11"/>
      <c r="B683" s="11"/>
      <c r="C683" s="11"/>
      <c r="D683" s="11"/>
    </row>
    <row r="684">
      <c r="A684" s="11"/>
      <c r="B684" s="11"/>
      <c r="C684" s="11"/>
      <c r="D684" s="11"/>
    </row>
    <row r="685">
      <c r="A685" s="11"/>
      <c r="B685" s="11"/>
      <c r="C685" s="11"/>
      <c r="D685" s="11"/>
    </row>
    <row r="686">
      <c r="A686" s="11"/>
      <c r="B686" s="11"/>
      <c r="C686" s="11"/>
      <c r="D686" s="11"/>
    </row>
    <row r="687">
      <c r="A687" s="11"/>
      <c r="B687" s="11"/>
      <c r="C687" s="11"/>
      <c r="D687" s="11"/>
    </row>
    <row r="688">
      <c r="A688" s="11"/>
      <c r="B688" s="11"/>
      <c r="C688" s="11"/>
      <c r="D688" s="11"/>
    </row>
    <row r="689">
      <c r="A689" s="11"/>
      <c r="B689" s="11"/>
      <c r="C689" s="11"/>
      <c r="D689" s="11"/>
    </row>
    <row r="690">
      <c r="A690" s="11"/>
      <c r="B690" s="11"/>
      <c r="C690" s="11"/>
      <c r="D690" s="11"/>
    </row>
    <row r="691">
      <c r="A691" s="11"/>
      <c r="B691" s="11"/>
      <c r="C691" s="11"/>
      <c r="D691" s="11"/>
    </row>
    <row r="692">
      <c r="A692" s="11"/>
      <c r="B692" s="11"/>
      <c r="C692" s="11"/>
      <c r="D692" s="11"/>
    </row>
    <row r="693">
      <c r="A693" s="11"/>
      <c r="B693" s="11"/>
      <c r="C693" s="11"/>
      <c r="D693" s="11"/>
    </row>
    <row r="694">
      <c r="A694" s="11"/>
      <c r="B694" s="11"/>
      <c r="C694" s="11"/>
      <c r="D694" s="11"/>
    </row>
    <row r="695">
      <c r="A695" s="11"/>
      <c r="B695" s="11"/>
      <c r="C695" s="11"/>
      <c r="D695" s="11"/>
    </row>
    <row r="696">
      <c r="A696" s="11"/>
      <c r="B696" s="11"/>
      <c r="C696" s="11"/>
      <c r="D696" s="11"/>
    </row>
    <row r="697">
      <c r="A697" s="11"/>
      <c r="B697" s="11"/>
      <c r="C697" s="11"/>
      <c r="D697" s="11"/>
    </row>
    <row r="698">
      <c r="A698" s="11"/>
      <c r="B698" s="11"/>
      <c r="C698" s="11"/>
      <c r="D698" s="11"/>
    </row>
    <row r="699">
      <c r="A699" s="11"/>
      <c r="B699" s="11"/>
      <c r="C699" s="11"/>
      <c r="D699" s="11"/>
    </row>
    <row r="700">
      <c r="A700" s="11"/>
      <c r="B700" s="11"/>
      <c r="C700" s="11"/>
      <c r="D700" s="11"/>
    </row>
    <row r="701">
      <c r="A701" s="11"/>
      <c r="B701" s="11"/>
      <c r="C701" s="11"/>
      <c r="D701" s="11"/>
    </row>
    <row r="702">
      <c r="A702" s="11"/>
      <c r="B702" s="11"/>
      <c r="C702" s="11"/>
      <c r="D702" s="11"/>
    </row>
    <row r="703">
      <c r="A703" s="11"/>
      <c r="B703" s="11"/>
      <c r="C703" s="11"/>
      <c r="D703" s="11"/>
    </row>
    <row r="704">
      <c r="A704" s="11"/>
      <c r="B704" s="11"/>
      <c r="C704" s="11"/>
      <c r="D704" s="11"/>
    </row>
    <row r="705">
      <c r="A705" s="11"/>
      <c r="B705" s="11"/>
      <c r="C705" s="11"/>
      <c r="D705" s="11"/>
    </row>
    <row r="706">
      <c r="A706" s="11"/>
      <c r="B706" s="11"/>
      <c r="C706" s="11"/>
      <c r="D706" s="11"/>
    </row>
    <row r="707">
      <c r="A707" s="11"/>
      <c r="B707" s="11"/>
      <c r="C707" s="11"/>
      <c r="D707" s="11"/>
    </row>
    <row r="708">
      <c r="A708" s="11"/>
      <c r="B708" s="11"/>
      <c r="C708" s="11"/>
      <c r="D708" s="11"/>
    </row>
    <row r="709">
      <c r="A709" s="11"/>
      <c r="B709" s="11"/>
      <c r="C709" s="11"/>
      <c r="D709" s="11"/>
    </row>
    <row r="710">
      <c r="A710" s="11"/>
      <c r="B710" s="11"/>
      <c r="C710" s="11"/>
      <c r="D710" s="11"/>
    </row>
    <row r="711">
      <c r="A711" s="11"/>
      <c r="B711" s="11"/>
      <c r="C711" s="11"/>
      <c r="D711" s="11"/>
    </row>
    <row r="712">
      <c r="A712" s="11"/>
      <c r="B712" s="11"/>
      <c r="C712" s="11"/>
      <c r="D712" s="11"/>
    </row>
    <row r="713">
      <c r="A713" s="11"/>
      <c r="B713" s="11"/>
      <c r="C713" s="11"/>
      <c r="D713" s="11"/>
    </row>
    <row r="714">
      <c r="A714" s="11"/>
      <c r="B714" s="11"/>
      <c r="C714" s="11"/>
      <c r="D714" s="11"/>
    </row>
    <row r="715">
      <c r="A715" s="11"/>
      <c r="B715" s="11"/>
      <c r="C715" s="11"/>
      <c r="D715" s="11"/>
    </row>
    <row r="716">
      <c r="A716" s="11"/>
      <c r="B716" s="11"/>
      <c r="C716" s="11"/>
      <c r="D716" s="11"/>
    </row>
    <row r="717">
      <c r="A717" s="11"/>
      <c r="B717" s="11"/>
      <c r="C717" s="11"/>
      <c r="D717" s="11"/>
    </row>
    <row r="718">
      <c r="A718" s="11"/>
      <c r="B718" s="11"/>
      <c r="C718" s="11"/>
      <c r="D718" s="11"/>
    </row>
    <row r="719">
      <c r="A719" s="11"/>
      <c r="B719" s="11"/>
      <c r="C719" s="11"/>
      <c r="D719" s="11"/>
    </row>
    <row r="720">
      <c r="A720" s="11"/>
      <c r="B720" s="11"/>
      <c r="C720" s="11"/>
      <c r="D720" s="11"/>
    </row>
    <row r="721">
      <c r="A721" s="11"/>
      <c r="B721" s="11"/>
      <c r="C721" s="11"/>
      <c r="D721" s="11"/>
    </row>
    <row r="722">
      <c r="A722" s="11"/>
      <c r="B722" s="11"/>
      <c r="C722" s="11"/>
      <c r="D722" s="11"/>
    </row>
    <row r="723">
      <c r="A723" s="11"/>
      <c r="B723" s="11"/>
      <c r="C723" s="11"/>
      <c r="D723" s="11"/>
    </row>
    <row r="724">
      <c r="A724" s="11"/>
      <c r="B724" s="11"/>
      <c r="C724" s="11"/>
      <c r="D724" s="11"/>
    </row>
    <row r="725">
      <c r="A725" s="11"/>
      <c r="B725" s="11"/>
      <c r="C725" s="11"/>
      <c r="D725" s="11"/>
    </row>
    <row r="726">
      <c r="A726" s="11"/>
      <c r="B726" s="11"/>
      <c r="C726" s="11"/>
      <c r="D726" s="11"/>
    </row>
    <row r="727">
      <c r="A727" s="11"/>
      <c r="B727" s="11"/>
      <c r="C727" s="11"/>
      <c r="D727" s="11"/>
    </row>
    <row r="728">
      <c r="A728" s="11"/>
      <c r="B728" s="11"/>
      <c r="C728" s="11"/>
      <c r="D728" s="11"/>
    </row>
    <row r="729">
      <c r="A729" s="11"/>
      <c r="B729" s="11"/>
      <c r="C729" s="11"/>
      <c r="D729" s="11"/>
    </row>
    <row r="730">
      <c r="A730" s="11"/>
      <c r="B730" s="11"/>
      <c r="C730" s="11"/>
      <c r="D730" s="11"/>
    </row>
    <row r="731">
      <c r="A731" s="11"/>
      <c r="B731" s="11"/>
      <c r="C731" s="11"/>
      <c r="D731" s="11"/>
    </row>
    <row r="732">
      <c r="A732" s="11"/>
      <c r="B732" s="11"/>
      <c r="C732" s="11"/>
      <c r="D732" s="11"/>
    </row>
    <row r="733">
      <c r="A733" s="11"/>
      <c r="B733" s="11"/>
      <c r="C733" s="11"/>
      <c r="D733" s="11"/>
    </row>
    <row r="734">
      <c r="A734" s="11"/>
      <c r="B734" s="11"/>
      <c r="C734" s="11"/>
      <c r="D734" s="11"/>
    </row>
    <row r="735">
      <c r="A735" s="11"/>
      <c r="B735" s="11"/>
      <c r="C735" s="11"/>
      <c r="D735" s="11"/>
    </row>
    <row r="736">
      <c r="A736" s="11"/>
      <c r="B736" s="11"/>
      <c r="C736" s="11"/>
      <c r="D736" s="11"/>
    </row>
    <row r="737">
      <c r="A737" s="11"/>
      <c r="B737" s="11"/>
      <c r="C737" s="11"/>
      <c r="D737" s="11"/>
    </row>
    <row r="738">
      <c r="A738" s="11"/>
      <c r="B738" s="11"/>
      <c r="C738" s="11"/>
      <c r="D738" s="11"/>
    </row>
    <row r="739">
      <c r="A739" s="11"/>
      <c r="B739" s="11"/>
      <c r="C739" s="11"/>
      <c r="D739" s="11"/>
    </row>
    <row r="740">
      <c r="A740" s="11"/>
      <c r="B740" s="11"/>
      <c r="C740" s="11"/>
      <c r="D740" s="11"/>
    </row>
    <row r="741">
      <c r="A741" s="11"/>
      <c r="B741" s="11"/>
      <c r="C741" s="11"/>
      <c r="D741" s="11"/>
    </row>
    <row r="742">
      <c r="A742" s="11"/>
      <c r="B742" s="11"/>
      <c r="C742" s="11"/>
      <c r="D742" s="11"/>
    </row>
    <row r="743">
      <c r="A743" s="11"/>
      <c r="B743" s="11"/>
      <c r="C743" s="11"/>
      <c r="D743" s="11"/>
    </row>
    <row r="744">
      <c r="A744" s="11"/>
      <c r="B744" s="11"/>
      <c r="C744" s="11"/>
      <c r="D744" s="11"/>
    </row>
    <row r="745">
      <c r="A745" s="11"/>
      <c r="B745" s="11"/>
      <c r="C745" s="11"/>
      <c r="D745" s="11"/>
    </row>
    <row r="746">
      <c r="A746" s="11"/>
      <c r="B746" s="11"/>
      <c r="C746" s="11"/>
      <c r="D746" s="11"/>
    </row>
    <row r="747">
      <c r="A747" s="11"/>
      <c r="B747" s="11"/>
      <c r="C747" s="11"/>
      <c r="D747" s="11"/>
    </row>
    <row r="748">
      <c r="A748" s="11"/>
      <c r="B748" s="11"/>
      <c r="C748" s="11"/>
      <c r="D748" s="11"/>
    </row>
    <row r="749">
      <c r="A749" s="11"/>
      <c r="B749" s="11"/>
      <c r="C749" s="11"/>
      <c r="D749" s="11"/>
    </row>
    <row r="750">
      <c r="A750" s="11"/>
      <c r="B750" s="11"/>
      <c r="C750" s="11"/>
      <c r="D750" s="11"/>
    </row>
    <row r="751">
      <c r="A751" s="11"/>
      <c r="B751" s="11"/>
      <c r="C751" s="11"/>
      <c r="D751" s="11"/>
    </row>
    <row r="752">
      <c r="A752" s="11"/>
      <c r="B752" s="11"/>
      <c r="C752" s="11"/>
      <c r="D752" s="11"/>
    </row>
    <row r="753">
      <c r="A753" s="11"/>
      <c r="B753" s="11"/>
      <c r="C753" s="11"/>
      <c r="D753" s="11"/>
    </row>
    <row r="754">
      <c r="A754" s="11"/>
      <c r="B754" s="11"/>
      <c r="C754" s="11"/>
      <c r="D754" s="11"/>
    </row>
    <row r="755">
      <c r="A755" s="11"/>
      <c r="B755" s="11"/>
      <c r="C755" s="11"/>
      <c r="D755" s="11"/>
    </row>
    <row r="756">
      <c r="A756" s="11"/>
      <c r="B756" s="11"/>
      <c r="C756" s="11"/>
      <c r="D756" s="11"/>
    </row>
    <row r="757">
      <c r="A757" s="11"/>
      <c r="B757" s="11"/>
      <c r="C757" s="11"/>
      <c r="D757" s="11"/>
    </row>
    <row r="758">
      <c r="A758" s="11"/>
      <c r="B758" s="11"/>
      <c r="C758" s="11"/>
      <c r="D758" s="11"/>
    </row>
    <row r="759">
      <c r="A759" s="11"/>
      <c r="B759" s="11"/>
      <c r="C759" s="11"/>
      <c r="D759" s="11"/>
    </row>
    <row r="760">
      <c r="A760" s="11"/>
      <c r="B760" s="11"/>
      <c r="C760" s="11"/>
      <c r="D760" s="11"/>
    </row>
    <row r="761">
      <c r="A761" s="11"/>
      <c r="B761" s="11"/>
      <c r="C761" s="11"/>
      <c r="D761" s="11"/>
    </row>
    <row r="762">
      <c r="A762" s="11"/>
      <c r="B762" s="11"/>
      <c r="C762" s="11"/>
      <c r="D762" s="11"/>
    </row>
    <row r="763">
      <c r="A763" s="11"/>
      <c r="B763" s="11"/>
      <c r="C763" s="11"/>
      <c r="D763" s="11"/>
    </row>
    <row r="764">
      <c r="A764" s="11"/>
      <c r="B764" s="11"/>
      <c r="C764" s="11"/>
      <c r="D764" s="11"/>
    </row>
    <row r="765">
      <c r="A765" s="11"/>
      <c r="B765" s="11"/>
      <c r="C765" s="11"/>
      <c r="D765" s="11"/>
    </row>
    <row r="766">
      <c r="A766" s="11"/>
      <c r="B766" s="11"/>
      <c r="C766" s="11"/>
      <c r="D766" s="11"/>
    </row>
    <row r="767">
      <c r="A767" s="11"/>
      <c r="B767" s="11"/>
      <c r="C767" s="11"/>
      <c r="D767" s="11"/>
    </row>
    <row r="768">
      <c r="A768" s="11"/>
      <c r="B768" s="11"/>
      <c r="C768" s="11"/>
      <c r="D768" s="11"/>
    </row>
    <row r="769">
      <c r="A769" s="11"/>
      <c r="B769" s="11"/>
      <c r="C769" s="11"/>
      <c r="D769" s="11"/>
    </row>
    <row r="770">
      <c r="A770" s="11"/>
      <c r="B770" s="11"/>
      <c r="C770" s="11"/>
      <c r="D770" s="11"/>
    </row>
    <row r="771">
      <c r="A771" s="11"/>
      <c r="B771" s="11"/>
      <c r="C771" s="11"/>
      <c r="D771" s="11"/>
    </row>
    <row r="772">
      <c r="A772" s="11"/>
      <c r="B772" s="11"/>
      <c r="C772" s="11"/>
      <c r="D772" s="11"/>
    </row>
    <row r="773">
      <c r="A773" s="11"/>
      <c r="B773" s="11"/>
      <c r="C773" s="11"/>
      <c r="D773" s="11"/>
    </row>
    <row r="774">
      <c r="A774" s="11"/>
      <c r="B774" s="11"/>
      <c r="C774" s="11"/>
      <c r="D774" s="11"/>
    </row>
    <row r="775">
      <c r="A775" s="11"/>
      <c r="B775" s="11"/>
      <c r="C775" s="11"/>
      <c r="D775" s="11"/>
    </row>
    <row r="776">
      <c r="A776" s="11"/>
      <c r="B776" s="11"/>
      <c r="C776" s="11"/>
      <c r="D776" s="11"/>
    </row>
    <row r="777">
      <c r="A777" s="11"/>
      <c r="B777" s="11"/>
      <c r="C777" s="11"/>
      <c r="D777" s="11"/>
    </row>
    <row r="778">
      <c r="A778" s="11"/>
      <c r="B778" s="11"/>
      <c r="C778" s="11"/>
      <c r="D778" s="11"/>
    </row>
    <row r="779">
      <c r="A779" s="11"/>
      <c r="B779" s="11"/>
      <c r="C779" s="11"/>
      <c r="D779" s="11"/>
    </row>
    <row r="780">
      <c r="A780" s="11"/>
      <c r="B780" s="11"/>
      <c r="C780" s="11"/>
      <c r="D780" s="11"/>
    </row>
    <row r="781">
      <c r="A781" s="11"/>
      <c r="B781" s="11"/>
      <c r="C781" s="11"/>
      <c r="D781" s="11"/>
    </row>
    <row r="782">
      <c r="A782" s="11"/>
      <c r="B782" s="11"/>
      <c r="C782" s="11"/>
      <c r="D782" s="11"/>
    </row>
    <row r="783">
      <c r="A783" s="11"/>
      <c r="B783" s="11"/>
      <c r="C783" s="11"/>
      <c r="D783" s="11"/>
    </row>
    <row r="784">
      <c r="A784" s="11"/>
      <c r="B784" s="11"/>
      <c r="C784" s="11"/>
      <c r="D784" s="11"/>
    </row>
    <row r="785">
      <c r="A785" s="11"/>
      <c r="B785" s="11"/>
      <c r="C785" s="11"/>
      <c r="D785" s="11"/>
    </row>
    <row r="786">
      <c r="A786" s="11"/>
      <c r="B786" s="11"/>
      <c r="C786" s="11"/>
      <c r="D786" s="11"/>
    </row>
    <row r="787">
      <c r="A787" s="11"/>
      <c r="B787" s="11"/>
      <c r="C787" s="11"/>
      <c r="D787" s="11"/>
    </row>
    <row r="788">
      <c r="A788" s="11"/>
      <c r="B788" s="11"/>
      <c r="C788" s="11"/>
      <c r="D788" s="11"/>
    </row>
    <row r="789">
      <c r="A789" s="11"/>
      <c r="B789" s="11"/>
      <c r="C789" s="11"/>
      <c r="D789" s="11"/>
    </row>
    <row r="790">
      <c r="A790" s="11"/>
      <c r="B790" s="11"/>
      <c r="C790" s="11"/>
      <c r="D790" s="11"/>
    </row>
    <row r="791">
      <c r="A791" s="11"/>
      <c r="B791" s="11"/>
      <c r="C791" s="11"/>
      <c r="D791" s="11"/>
    </row>
    <row r="792">
      <c r="A792" s="11"/>
      <c r="B792" s="11"/>
      <c r="C792" s="11"/>
      <c r="D792" s="11"/>
    </row>
    <row r="793">
      <c r="A793" s="11"/>
      <c r="B793" s="11"/>
      <c r="C793" s="11"/>
      <c r="D793" s="11"/>
    </row>
    <row r="794">
      <c r="A794" s="11"/>
      <c r="B794" s="11"/>
      <c r="C794" s="11"/>
      <c r="D794" s="11"/>
    </row>
    <row r="795">
      <c r="A795" s="11"/>
      <c r="B795" s="11"/>
      <c r="C795" s="11"/>
      <c r="D795" s="11"/>
    </row>
    <row r="796">
      <c r="A796" s="11"/>
      <c r="B796" s="11"/>
      <c r="C796" s="11"/>
      <c r="D796" s="11"/>
    </row>
    <row r="797">
      <c r="A797" s="11"/>
      <c r="B797" s="11"/>
      <c r="C797" s="11"/>
      <c r="D797" s="11"/>
    </row>
    <row r="798">
      <c r="A798" s="11"/>
      <c r="B798" s="11"/>
      <c r="C798" s="11"/>
      <c r="D798" s="11"/>
    </row>
    <row r="799">
      <c r="A799" s="11"/>
      <c r="B799" s="11"/>
      <c r="C799" s="11"/>
      <c r="D799" s="11"/>
    </row>
    <row r="800">
      <c r="A800" s="11"/>
      <c r="B800" s="11"/>
      <c r="C800" s="11"/>
      <c r="D800" s="11"/>
    </row>
    <row r="801">
      <c r="A801" s="11"/>
      <c r="B801" s="11"/>
      <c r="C801" s="11"/>
      <c r="D801" s="11"/>
    </row>
    <row r="802">
      <c r="A802" s="11"/>
      <c r="B802" s="11"/>
      <c r="C802" s="11"/>
      <c r="D802" s="11"/>
    </row>
    <row r="803">
      <c r="A803" s="11"/>
      <c r="B803" s="11"/>
      <c r="C803" s="11"/>
      <c r="D803" s="11"/>
    </row>
    <row r="804">
      <c r="A804" s="11"/>
      <c r="B804" s="11"/>
      <c r="C804" s="11"/>
      <c r="D804" s="11"/>
    </row>
    <row r="805">
      <c r="A805" s="11"/>
      <c r="B805" s="11"/>
      <c r="C805" s="11"/>
      <c r="D805" s="11"/>
    </row>
    <row r="806">
      <c r="A806" s="11"/>
      <c r="B806" s="11"/>
      <c r="C806" s="11"/>
      <c r="D806" s="11"/>
    </row>
    <row r="807">
      <c r="A807" s="11"/>
      <c r="B807" s="11"/>
      <c r="C807" s="11"/>
      <c r="D807" s="11"/>
    </row>
    <row r="808">
      <c r="A808" s="11"/>
      <c r="B808" s="11"/>
      <c r="C808" s="11"/>
      <c r="D808" s="11"/>
    </row>
    <row r="809">
      <c r="A809" s="11"/>
      <c r="B809" s="11"/>
      <c r="C809" s="11"/>
      <c r="D809" s="11"/>
    </row>
    <row r="810">
      <c r="A810" s="11"/>
      <c r="B810" s="11"/>
      <c r="C810" s="11"/>
      <c r="D810" s="11"/>
    </row>
    <row r="811">
      <c r="A811" s="11"/>
      <c r="B811" s="11"/>
      <c r="C811" s="11"/>
      <c r="D811" s="11"/>
    </row>
    <row r="812">
      <c r="A812" s="11"/>
      <c r="B812" s="11"/>
      <c r="C812" s="11"/>
      <c r="D812" s="11"/>
    </row>
    <row r="813">
      <c r="A813" s="11"/>
      <c r="B813" s="11"/>
      <c r="C813" s="11"/>
      <c r="D813" s="11"/>
    </row>
    <row r="814">
      <c r="A814" s="11"/>
      <c r="B814" s="11"/>
      <c r="C814" s="11"/>
      <c r="D814" s="11"/>
    </row>
    <row r="815">
      <c r="A815" s="11"/>
      <c r="B815" s="11"/>
      <c r="C815" s="11"/>
      <c r="D815" s="11"/>
    </row>
    <row r="816">
      <c r="A816" s="11"/>
      <c r="B816" s="11"/>
      <c r="C816" s="11"/>
      <c r="D816" s="11"/>
    </row>
    <row r="817">
      <c r="A817" s="11"/>
      <c r="B817" s="11"/>
      <c r="C817" s="11"/>
      <c r="D817" s="11"/>
    </row>
    <row r="818">
      <c r="A818" s="11"/>
      <c r="B818" s="11"/>
      <c r="C818" s="11"/>
      <c r="D818" s="11"/>
    </row>
    <row r="819">
      <c r="A819" s="11"/>
      <c r="B819" s="11"/>
      <c r="C819" s="11"/>
      <c r="D819" s="11"/>
    </row>
    <row r="820">
      <c r="A820" s="11"/>
      <c r="B820" s="11"/>
      <c r="C820" s="11"/>
      <c r="D820" s="11"/>
    </row>
    <row r="821">
      <c r="A821" s="11"/>
      <c r="B821" s="11"/>
      <c r="C821" s="11"/>
      <c r="D821" s="11"/>
    </row>
    <row r="822">
      <c r="A822" s="11"/>
      <c r="B822" s="11"/>
      <c r="C822" s="11"/>
      <c r="D822" s="11"/>
    </row>
    <row r="823">
      <c r="A823" s="11"/>
      <c r="B823" s="11"/>
      <c r="C823" s="11"/>
      <c r="D823" s="11"/>
    </row>
    <row r="824">
      <c r="A824" s="11"/>
      <c r="B824" s="11"/>
      <c r="C824" s="11"/>
      <c r="D824" s="11"/>
    </row>
    <row r="825">
      <c r="A825" s="11"/>
      <c r="B825" s="11"/>
      <c r="C825" s="11"/>
      <c r="D825" s="11"/>
    </row>
    <row r="826">
      <c r="A826" s="11"/>
      <c r="B826" s="11"/>
      <c r="C826" s="11"/>
      <c r="D826" s="11"/>
    </row>
    <row r="827">
      <c r="A827" s="11"/>
      <c r="B827" s="11"/>
      <c r="C827" s="11"/>
      <c r="D827" s="11"/>
    </row>
    <row r="828">
      <c r="A828" s="11"/>
      <c r="B828" s="11"/>
      <c r="C828" s="11"/>
      <c r="D828" s="11"/>
    </row>
    <row r="829">
      <c r="A829" s="11"/>
      <c r="B829" s="11"/>
      <c r="C829" s="11"/>
      <c r="D829" s="11"/>
    </row>
    <row r="830">
      <c r="A830" s="11"/>
      <c r="B830" s="11"/>
      <c r="C830" s="11"/>
      <c r="D830" s="11"/>
    </row>
    <row r="831">
      <c r="A831" s="11"/>
      <c r="B831" s="11"/>
      <c r="C831" s="11"/>
      <c r="D831" s="11"/>
    </row>
    <row r="832">
      <c r="A832" s="11"/>
      <c r="B832" s="11"/>
      <c r="C832" s="11"/>
      <c r="D832" s="11"/>
    </row>
    <row r="833">
      <c r="A833" s="11"/>
      <c r="B833" s="11"/>
      <c r="C833" s="11"/>
      <c r="D833" s="11"/>
    </row>
    <row r="834">
      <c r="A834" s="11"/>
      <c r="B834" s="11"/>
      <c r="C834" s="11"/>
      <c r="D834" s="11"/>
    </row>
    <row r="835">
      <c r="A835" s="11"/>
      <c r="B835" s="11"/>
      <c r="C835" s="11"/>
      <c r="D835" s="11"/>
    </row>
    <row r="836">
      <c r="A836" s="11"/>
      <c r="B836" s="11"/>
      <c r="C836" s="11"/>
      <c r="D836" s="11"/>
    </row>
    <row r="837">
      <c r="A837" s="11"/>
      <c r="B837" s="11"/>
      <c r="C837" s="11"/>
      <c r="D837" s="11"/>
    </row>
    <row r="838">
      <c r="A838" s="11"/>
      <c r="B838" s="11"/>
      <c r="C838" s="11"/>
      <c r="D838" s="11"/>
    </row>
    <row r="839">
      <c r="A839" s="11"/>
      <c r="B839" s="11"/>
      <c r="C839" s="11"/>
      <c r="D839" s="11"/>
    </row>
    <row r="840">
      <c r="A840" s="11"/>
      <c r="B840" s="11"/>
      <c r="C840" s="11"/>
      <c r="D840" s="11"/>
    </row>
    <row r="841">
      <c r="A841" s="11"/>
      <c r="B841" s="11"/>
      <c r="C841" s="11"/>
      <c r="D841" s="11"/>
    </row>
    <row r="842">
      <c r="A842" s="11"/>
      <c r="B842" s="11"/>
      <c r="C842" s="11"/>
      <c r="D842" s="11"/>
    </row>
    <row r="843">
      <c r="A843" s="11"/>
      <c r="B843" s="11"/>
      <c r="C843" s="11"/>
      <c r="D843" s="11"/>
    </row>
    <row r="844">
      <c r="A844" s="11"/>
      <c r="B844" s="11"/>
      <c r="C844" s="11"/>
      <c r="D844" s="11"/>
    </row>
    <row r="845">
      <c r="A845" s="11"/>
      <c r="B845" s="11"/>
      <c r="C845" s="11"/>
      <c r="D845" s="11"/>
    </row>
    <row r="846">
      <c r="A846" s="11"/>
      <c r="B846" s="11"/>
      <c r="C846" s="11"/>
      <c r="D846" s="11"/>
    </row>
    <row r="847">
      <c r="A847" s="11"/>
      <c r="B847" s="11"/>
      <c r="C847" s="11"/>
      <c r="D847" s="11"/>
    </row>
    <row r="848">
      <c r="A848" s="11"/>
      <c r="B848" s="11"/>
      <c r="C848" s="11"/>
      <c r="D848" s="11"/>
    </row>
    <row r="849">
      <c r="A849" s="11"/>
      <c r="B849" s="11"/>
      <c r="C849" s="11"/>
      <c r="D849" s="11"/>
    </row>
    <row r="850">
      <c r="A850" s="11"/>
      <c r="B850" s="11"/>
      <c r="C850" s="11"/>
      <c r="D850" s="11"/>
    </row>
    <row r="851">
      <c r="A851" s="11"/>
      <c r="B851" s="11"/>
      <c r="C851" s="11"/>
      <c r="D851" s="11"/>
    </row>
    <row r="852">
      <c r="A852" s="11"/>
      <c r="B852" s="11"/>
      <c r="C852" s="11"/>
      <c r="D852" s="11"/>
    </row>
    <row r="853">
      <c r="A853" s="11"/>
      <c r="B853" s="11"/>
      <c r="C853" s="11"/>
      <c r="D853" s="11"/>
    </row>
    <row r="854">
      <c r="A854" s="11"/>
      <c r="B854" s="11"/>
      <c r="C854" s="11"/>
      <c r="D854" s="11"/>
    </row>
    <row r="855">
      <c r="A855" s="11"/>
      <c r="B855" s="11"/>
      <c r="C855" s="11"/>
      <c r="D855" s="11"/>
    </row>
    <row r="856">
      <c r="A856" s="11"/>
      <c r="B856" s="11"/>
      <c r="C856" s="11"/>
      <c r="D856" s="11"/>
    </row>
    <row r="857">
      <c r="A857" s="11"/>
      <c r="B857" s="11"/>
      <c r="C857" s="11"/>
      <c r="D857" s="11"/>
    </row>
    <row r="858">
      <c r="A858" s="11"/>
      <c r="B858" s="11"/>
      <c r="C858" s="11"/>
      <c r="D858" s="11"/>
    </row>
    <row r="859">
      <c r="A859" s="11"/>
      <c r="B859" s="11"/>
      <c r="C859" s="11"/>
      <c r="D859" s="11"/>
    </row>
    <row r="860">
      <c r="A860" s="11"/>
      <c r="B860" s="11"/>
      <c r="C860" s="11"/>
      <c r="D860" s="11"/>
    </row>
    <row r="861">
      <c r="A861" s="11"/>
      <c r="B861" s="11"/>
      <c r="C861" s="11"/>
      <c r="D861" s="11"/>
    </row>
    <row r="862">
      <c r="A862" s="11"/>
      <c r="B862" s="11"/>
      <c r="C862" s="11"/>
      <c r="D862" s="11"/>
    </row>
    <row r="863">
      <c r="A863" s="11"/>
      <c r="B863" s="11"/>
      <c r="C863" s="11"/>
      <c r="D863" s="11"/>
    </row>
    <row r="864">
      <c r="A864" s="11"/>
      <c r="B864" s="11"/>
      <c r="C864" s="11"/>
      <c r="D864" s="11"/>
    </row>
    <row r="865">
      <c r="A865" s="11"/>
      <c r="B865" s="11"/>
      <c r="C865" s="11"/>
      <c r="D865" s="11"/>
    </row>
    <row r="866">
      <c r="A866" s="11"/>
      <c r="B866" s="11"/>
      <c r="C866" s="11"/>
      <c r="D866" s="11"/>
    </row>
    <row r="867">
      <c r="A867" s="11"/>
      <c r="B867" s="11"/>
      <c r="C867" s="11"/>
      <c r="D867" s="11"/>
    </row>
    <row r="868">
      <c r="A868" s="11"/>
      <c r="B868" s="11"/>
      <c r="C868" s="11"/>
      <c r="D868" s="11"/>
    </row>
    <row r="869">
      <c r="A869" s="11"/>
      <c r="B869" s="11"/>
      <c r="C869" s="11"/>
      <c r="D869" s="11"/>
    </row>
    <row r="870">
      <c r="A870" s="11"/>
      <c r="B870" s="11"/>
      <c r="C870" s="11"/>
      <c r="D870" s="11"/>
    </row>
    <row r="871">
      <c r="A871" s="11"/>
      <c r="B871" s="11"/>
      <c r="C871" s="11"/>
      <c r="D871" s="11"/>
    </row>
    <row r="872">
      <c r="A872" s="11"/>
      <c r="B872" s="11"/>
      <c r="C872" s="11"/>
      <c r="D872" s="11"/>
    </row>
    <row r="873">
      <c r="A873" s="11"/>
      <c r="B873" s="11"/>
      <c r="C873" s="11"/>
      <c r="D873" s="11"/>
    </row>
    <row r="874">
      <c r="A874" s="11"/>
      <c r="B874" s="11"/>
      <c r="C874" s="11"/>
      <c r="D874" s="11"/>
    </row>
    <row r="875">
      <c r="A875" s="11"/>
      <c r="B875" s="11"/>
      <c r="C875" s="11"/>
      <c r="D875" s="11"/>
    </row>
    <row r="876">
      <c r="A876" s="11"/>
      <c r="B876" s="11"/>
      <c r="C876" s="11"/>
      <c r="D876" s="11"/>
    </row>
    <row r="877">
      <c r="A877" s="11"/>
      <c r="B877" s="11"/>
      <c r="C877" s="11"/>
      <c r="D877" s="11"/>
    </row>
    <row r="878">
      <c r="A878" s="11"/>
      <c r="B878" s="11"/>
      <c r="C878" s="11"/>
      <c r="D878" s="11"/>
    </row>
    <row r="879">
      <c r="A879" s="11"/>
      <c r="B879" s="11"/>
      <c r="C879" s="11"/>
      <c r="D879" s="11"/>
    </row>
    <row r="880">
      <c r="A880" s="11"/>
      <c r="B880" s="11"/>
      <c r="C880" s="11"/>
      <c r="D880" s="11"/>
    </row>
    <row r="881">
      <c r="A881" s="11"/>
      <c r="B881" s="11"/>
      <c r="C881" s="11"/>
      <c r="D881" s="11"/>
    </row>
    <row r="882">
      <c r="A882" s="11"/>
      <c r="B882" s="11"/>
      <c r="C882" s="11"/>
      <c r="D882" s="11"/>
    </row>
    <row r="883">
      <c r="A883" s="11"/>
      <c r="B883" s="11"/>
      <c r="C883" s="11"/>
      <c r="D883" s="11"/>
    </row>
    <row r="884">
      <c r="A884" s="11"/>
      <c r="B884" s="11"/>
      <c r="C884" s="11"/>
      <c r="D884" s="11"/>
    </row>
    <row r="885">
      <c r="A885" s="11"/>
      <c r="B885" s="11"/>
      <c r="C885" s="11"/>
      <c r="D885" s="11"/>
    </row>
    <row r="886">
      <c r="A886" s="11"/>
      <c r="B886" s="11"/>
      <c r="C886" s="11"/>
      <c r="D886" s="11"/>
    </row>
    <row r="887">
      <c r="A887" s="11"/>
      <c r="B887" s="11"/>
      <c r="C887" s="11"/>
      <c r="D887" s="11"/>
    </row>
    <row r="888">
      <c r="A888" s="11"/>
      <c r="B888" s="11"/>
      <c r="C888" s="11"/>
      <c r="D888" s="11"/>
    </row>
    <row r="889">
      <c r="A889" s="11"/>
      <c r="B889" s="11"/>
      <c r="C889" s="11"/>
      <c r="D889" s="11"/>
    </row>
    <row r="890">
      <c r="A890" s="11"/>
      <c r="B890" s="11"/>
      <c r="C890" s="11"/>
      <c r="D890" s="11"/>
    </row>
    <row r="891">
      <c r="A891" s="11"/>
      <c r="B891" s="11"/>
      <c r="C891" s="11"/>
      <c r="D891" s="11"/>
    </row>
    <row r="892">
      <c r="A892" s="11"/>
      <c r="B892" s="11"/>
      <c r="C892" s="11"/>
      <c r="D892" s="11"/>
    </row>
    <row r="893">
      <c r="A893" s="11"/>
      <c r="B893" s="11"/>
      <c r="C893" s="11"/>
      <c r="D893" s="11"/>
    </row>
    <row r="894">
      <c r="A894" s="11"/>
      <c r="B894" s="11"/>
      <c r="C894" s="11"/>
      <c r="D894" s="11"/>
    </row>
    <row r="895">
      <c r="A895" s="11"/>
      <c r="B895" s="11"/>
      <c r="C895" s="11"/>
      <c r="D895" s="11"/>
    </row>
    <row r="896">
      <c r="A896" s="11"/>
      <c r="B896" s="11"/>
      <c r="C896" s="11"/>
      <c r="D896" s="11"/>
    </row>
    <row r="897">
      <c r="A897" s="11"/>
      <c r="B897" s="11"/>
      <c r="C897" s="11"/>
      <c r="D897" s="11"/>
    </row>
    <row r="898">
      <c r="A898" s="11"/>
      <c r="B898" s="11"/>
      <c r="C898" s="11"/>
      <c r="D898" s="11"/>
    </row>
    <row r="899">
      <c r="A899" s="11"/>
      <c r="B899" s="11"/>
      <c r="C899" s="11"/>
      <c r="D899" s="11"/>
    </row>
    <row r="900">
      <c r="A900" s="11"/>
      <c r="B900" s="11"/>
      <c r="C900" s="11"/>
      <c r="D900" s="11"/>
    </row>
    <row r="901">
      <c r="A901" s="11"/>
      <c r="B901" s="11"/>
      <c r="C901" s="11"/>
      <c r="D901" s="11"/>
    </row>
    <row r="902">
      <c r="A902" s="11"/>
      <c r="B902" s="11"/>
      <c r="C902" s="11"/>
      <c r="D902" s="11"/>
    </row>
    <row r="903">
      <c r="A903" s="11"/>
      <c r="B903" s="11"/>
      <c r="C903" s="11"/>
      <c r="D903" s="11"/>
    </row>
    <row r="904">
      <c r="A904" s="11"/>
      <c r="B904" s="11"/>
      <c r="C904" s="11"/>
      <c r="D904" s="11"/>
    </row>
    <row r="905">
      <c r="A905" s="11"/>
      <c r="B905" s="11"/>
      <c r="C905" s="11"/>
      <c r="D905" s="11"/>
    </row>
    <row r="906">
      <c r="A906" s="11"/>
      <c r="B906" s="11"/>
      <c r="C906" s="11"/>
      <c r="D906" s="11"/>
    </row>
    <row r="907">
      <c r="A907" s="11"/>
      <c r="B907" s="11"/>
      <c r="C907" s="11"/>
      <c r="D907" s="11"/>
    </row>
    <row r="908">
      <c r="A908" s="11"/>
      <c r="B908" s="11"/>
      <c r="C908" s="11"/>
      <c r="D908" s="11"/>
    </row>
    <row r="909">
      <c r="A909" s="11"/>
      <c r="B909" s="11"/>
      <c r="C909" s="11"/>
      <c r="D909" s="11"/>
    </row>
    <row r="910">
      <c r="A910" s="11"/>
      <c r="B910" s="11"/>
      <c r="C910" s="11"/>
      <c r="D910" s="11"/>
    </row>
    <row r="911">
      <c r="A911" s="11"/>
      <c r="B911" s="11"/>
      <c r="C911" s="11"/>
      <c r="D911" s="11"/>
    </row>
    <row r="912">
      <c r="A912" s="11"/>
      <c r="B912" s="11"/>
      <c r="C912" s="11"/>
      <c r="D912" s="11"/>
    </row>
    <row r="913">
      <c r="A913" s="11"/>
      <c r="B913" s="11"/>
      <c r="C913" s="11"/>
      <c r="D913" s="11"/>
    </row>
    <row r="914">
      <c r="A914" s="11"/>
      <c r="B914" s="11"/>
      <c r="C914" s="11"/>
      <c r="D914" s="11"/>
    </row>
    <row r="915">
      <c r="A915" s="11"/>
      <c r="B915" s="11"/>
      <c r="C915" s="11"/>
      <c r="D915" s="11"/>
    </row>
    <row r="916">
      <c r="A916" s="11"/>
      <c r="B916" s="11"/>
      <c r="C916" s="11"/>
      <c r="D916" s="11"/>
    </row>
    <row r="917">
      <c r="A917" s="11"/>
      <c r="B917" s="11"/>
      <c r="C917" s="11"/>
      <c r="D917" s="11"/>
    </row>
    <row r="918">
      <c r="A918" s="11"/>
      <c r="B918" s="11"/>
      <c r="C918" s="11"/>
      <c r="D918" s="11"/>
    </row>
    <row r="919">
      <c r="A919" s="11"/>
      <c r="B919" s="11"/>
      <c r="C919" s="11"/>
      <c r="D919" s="11"/>
    </row>
    <row r="920">
      <c r="A920" s="11"/>
      <c r="B920" s="11"/>
      <c r="C920" s="11"/>
      <c r="D920" s="11"/>
    </row>
    <row r="921">
      <c r="A921" s="11"/>
      <c r="B921" s="11"/>
      <c r="C921" s="11"/>
      <c r="D921" s="11"/>
    </row>
    <row r="922">
      <c r="A922" s="11"/>
      <c r="B922" s="11"/>
      <c r="C922" s="11"/>
      <c r="D922" s="11"/>
    </row>
    <row r="923">
      <c r="A923" s="11"/>
      <c r="B923" s="11"/>
      <c r="C923" s="11"/>
      <c r="D923" s="11"/>
    </row>
    <row r="924">
      <c r="A924" s="11"/>
      <c r="B924" s="11"/>
      <c r="C924" s="11"/>
      <c r="D924" s="11"/>
    </row>
    <row r="925">
      <c r="A925" s="11"/>
      <c r="B925" s="11"/>
      <c r="C925" s="11"/>
      <c r="D925" s="11"/>
    </row>
    <row r="926">
      <c r="A926" s="11"/>
      <c r="B926" s="11"/>
      <c r="C926" s="11"/>
      <c r="D926" s="11"/>
    </row>
    <row r="927">
      <c r="A927" s="11"/>
      <c r="B927" s="11"/>
      <c r="C927" s="11"/>
      <c r="D927" s="11"/>
    </row>
    <row r="928">
      <c r="A928" s="11"/>
      <c r="B928" s="11"/>
      <c r="C928" s="11"/>
      <c r="D928" s="11"/>
    </row>
    <row r="929">
      <c r="A929" s="11"/>
      <c r="B929" s="11"/>
      <c r="C929" s="11"/>
      <c r="D929" s="11"/>
    </row>
    <row r="930">
      <c r="A930" s="11"/>
      <c r="B930" s="11"/>
      <c r="C930" s="11"/>
      <c r="D930" s="11"/>
    </row>
    <row r="931">
      <c r="A931" s="11"/>
      <c r="B931" s="11"/>
      <c r="C931" s="11"/>
      <c r="D931" s="11"/>
    </row>
    <row r="932">
      <c r="A932" s="11"/>
      <c r="B932" s="11"/>
      <c r="C932" s="11"/>
      <c r="D932" s="11"/>
    </row>
    <row r="933">
      <c r="A933" s="11"/>
      <c r="B933" s="11"/>
      <c r="C933" s="11"/>
      <c r="D933" s="11"/>
    </row>
    <row r="934">
      <c r="A934" s="11"/>
      <c r="B934" s="11"/>
      <c r="C934" s="11"/>
      <c r="D934" s="11"/>
    </row>
    <row r="935">
      <c r="A935" s="11"/>
      <c r="B935" s="11"/>
      <c r="C935" s="11"/>
      <c r="D935" s="11"/>
    </row>
    <row r="936">
      <c r="A936" s="11"/>
      <c r="B936" s="11"/>
      <c r="C936" s="11"/>
      <c r="D936" s="11"/>
    </row>
    <row r="937">
      <c r="A937" s="11"/>
      <c r="B937" s="11"/>
      <c r="C937" s="11"/>
      <c r="D937" s="11"/>
    </row>
    <row r="938">
      <c r="A938" s="11"/>
      <c r="B938" s="11"/>
      <c r="C938" s="11"/>
      <c r="D938" s="11"/>
    </row>
    <row r="939">
      <c r="A939" s="11"/>
      <c r="B939" s="11"/>
      <c r="C939" s="11"/>
      <c r="D939" s="11"/>
    </row>
    <row r="940">
      <c r="A940" s="11"/>
      <c r="B940" s="11"/>
      <c r="C940" s="11"/>
      <c r="D940" s="11"/>
    </row>
    <row r="941">
      <c r="A941" s="11"/>
      <c r="B941" s="11"/>
      <c r="C941" s="11"/>
      <c r="D941" s="11"/>
    </row>
    <row r="942">
      <c r="A942" s="11"/>
      <c r="B942" s="11"/>
      <c r="C942" s="11"/>
      <c r="D942" s="11"/>
    </row>
    <row r="943">
      <c r="A943" s="11"/>
      <c r="B943" s="11"/>
      <c r="C943" s="11"/>
      <c r="D943" s="11"/>
    </row>
    <row r="944">
      <c r="A944" s="11"/>
      <c r="B944" s="11"/>
      <c r="C944" s="11"/>
      <c r="D944" s="11"/>
    </row>
    <row r="945">
      <c r="A945" s="11"/>
      <c r="B945" s="11"/>
      <c r="C945" s="11"/>
      <c r="D945" s="11"/>
    </row>
    <row r="946">
      <c r="A946" s="11"/>
      <c r="B946" s="11"/>
      <c r="C946" s="11"/>
      <c r="D946" s="11"/>
    </row>
    <row r="947">
      <c r="A947" s="11"/>
      <c r="B947" s="11"/>
      <c r="C947" s="11"/>
      <c r="D947" s="11"/>
    </row>
    <row r="948">
      <c r="A948" s="11"/>
      <c r="B948" s="11"/>
      <c r="C948" s="11"/>
      <c r="D948" s="11"/>
    </row>
    <row r="949">
      <c r="A949" s="11"/>
      <c r="B949" s="11"/>
      <c r="C949" s="11"/>
      <c r="D949" s="11"/>
    </row>
    <row r="950">
      <c r="A950" s="11"/>
      <c r="B950" s="11"/>
      <c r="C950" s="11"/>
      <c r="D950" s="11"/>
    </row>
    <row r="951">
      <c r="A951" s="11"/>
      <c r="B951" s="11"/>
      <c r="C951" s="11"/>
      <c r="D951" s="11"/>
    </row>
    <row r="952">
      <c r="A952" s="11"/>
      <c r="B952" s="11"/>
      <c r="C952" s="11"/>
      <c r="D952" s="11"/>
    </row>
    <row r="953">
      <c r="A953" s="11"/>
      <c r="B953" s="11"/>
      <c r="C953" s="11"/>
      <c r="D953" s="11"/>
    </row>
    <row r="954">
      <c r="A954" s="11"/>
      <c r="B954" s="11"/>
      <c r="C954" s="11"/>
      <c r="D954" s="11"/>
    </row>
    <row r="955">
      <c r="A955" s="11"/>
      <c r="B955" s="11"/>
      <c r="C955" s="11"/>
      <c r="D955" s="11"/>
    </row>
    <row r="956">
      <c r="A956" s="11"/>
      <c r="B956" s="11"/>
      <c r="C956" s="11"/>
      <c r="D956" s="11"/>
    </row>
    <row r="957">
      <c r="A957" s="11"/>
      <c r="B957" s="11"/>
      <c r="C957" s="11"/>
      <c r="D957" s="11"/>
    </row>
    <row r="958">
      <c r="A958" s="11"/>
      <c r="B958" s="11"/>
      <c r="C958" s="11"/>
      <c r="D958" s="11"/>
    </row>
    <row r="959">
      <c r="A959" s="11"/>
      <c r="B959" s="11"/>
      <c r="C959" s="11"/>
      <c r="D959" s="11"/>
    </row>
    <row r="960">
      <c r="A960" s="11"/>
      <c r="B960" s="11"/>
      <c r="C960" s="11"/>
      <c r="D960" s="11"/>
    </row>
    <row r="961">
      <c r="A961" s="11"/>
      <c r="B961" s="11"/>
      <c r="C961" s="11"/>
      <c r="D961" s="11"/>
    </row>
    <row r="962">
      <c r="A962" s="11"/>
      <c r="B962" s="11"/>
      <c r="C962" s="11"/>
      <c r="D962" s="11"/>
    </row>
    <row r="963">
      <c r="A963" s="11"/>
      <c r="B963" s="11"/>
      <c r="C963" s="11"/>
      <c r="D963" s="11"/>
    </row>
    <row r="964">
      <c r="A964" s="11"/>
      <c r="B964" s="11"/>
      <c r="C964" s="11"/>
      <c r="D964" s="11"/>
    </row>
    <row r="965">
      <c r="A965" s="11"/>
      <c r="B965" s="11"/>
      <c r="C965" s="11"/>
      <c r="D965" s="11"/>
    </row>
    <row r="966">
      <c r="A966" s="11"/>
      <c r="B966" s="11"/>
      <c r="C966" s="11"/>
      <c r="D966" s="11"/>
    </row>
    <row r="967">
      <c r="A967" s="11"/>
      <c r="B967" s="11"/>
      <c r="C967" s="11"/>
      <c r="D967" s="11"/>
    </row>
    <row r="968">
      <c r="A968" s="11"/>
      <c r="B968" s="11"/>
      <c r="C968" s="11"/>
      <c r="D968" s="11"/>
    </row>
    <row r="969">
      <c r="A969" s="11"/>
      <c r="B969" s="11"/>
      <c r="C969" s="11"/>
      <c r="D969" s="11"/>
    </row>
    <row r="970">
      <c r="A970" s="11"/>
      <c r="B970" s="11"/>
      <c r="C970" s="11"/>
      <c r="D970" s="11"/>
    </row>
    <row r="971">
      <c r="A971" s="11"/>
      <c r="B971" s="11"/>
      <c r="C971" s="11"/>
      <c r="D971" s="11"/>
    </row>
    <row r="972">
      <c r="A972" s="11"/>
      <c r="B972" s="11"/>
      <c r="C972" s="11"/>
      <c r="D972" s="11"/>
    </row>
    <row r="973">
      <c r="A973" s="11"/>
      <c r="B973" s="11"/>
      <c r="C973" s="11"/>
      <c r="D973" s="11"/>
    </row>
    <row r="974">
      <c r="A974" s="11"/>
      <c r="B974" s="11"/>
      <c r="C974" s="11"/>
      <c r="D974" s="11"/>
    </row>
    <row r="975">
      <c r="A975" s="11"/>
      <c r="B975" s="11"/>
      <c r="C975" s="11"/>
      <c r="D975" s="11"/>
    </row>
    <row r="976">
      <c r="A976" s="11"/>
      <c r="B976" s="11"/>
      <c r="C976" s="11"/>
      <c r="D976" s="11"/>
    </row>
    <row r="977">
      <c r="A977" s="11"/>
      <c r="B977" s="11"/>
      <c r="C977" s="11"/>
      <c r="D977" s="11"/>
    </row>
    <row r="978">
      <c r="A978" s="11"/>
      <c r="B978" s="11"/>
      <c r="C978" s="11"/>
      <c r="D978" s="11"/>
    </row>
    <row r="979">
      <c r="A979" s="11"/>
      <c r="B979" s="11"/>
      <c r="C979" s="11"/>
      <c r="D979" s="11"/>
    </row>
    <row r="980">
      <c r="A980" s="11"/>
      <c r="B980" s="11"/>
      <c r="C980" s="11"/>
      <c r="D980" s="11"/>
    </row>
    <row r="981">
      <c r="A981" s="11"/>
      <c r="B981" s="11"/>
      <c r="C981" s="11"/>
      <c r="D981" s="11"/>
    </row>
    <row r="982">
      <c r="A982" s="11"/>
      <c r="B982" s="11"/>
      <c r="C982" s="11"/>
      <c r="D982" s="11"/>
    </row>
    <row r="983">
      <c r="A983" s="11"/>
      <c r="B983" s="11"/>
      <c r="C983" s="11"/>
      <c r="D983" s="11"/>
    </row>
    <row r="984">
      <c r="A984" s="11"/>
      <c r="B984" s="11"/>
      <c r="C984" s="11"/>
      <c r="D984" s="11"/>
    </row>
    <row r="985">
      <c r="A985" s="11"/>
      <c r="B985" s="11"/>
      <c r="C985" s="11"/>
      <c r="D985" s="11"/>
    </row>
    <row r="986">
      <c r="A986" s="11"/>
      <c r="B986" s="11"/>
      <c r="C986" s="11"/>
      <c r="D986" s="11"/>
    </row>
    <row r="987">
      <c r="A987" s="11"/>
      <c r="B987" s="11"/>
      <c r="C987" s="11"/>
      <c r="D987" s="11"/>
    </row>
    <row r="988">
      <c r="A988" s="11"/>
      <c r="B988" s="11"/>
      <c r="C988" s="11"/>
      <c r="D988" s="11"/>
    </row>
    <row r="989">
      <c r="A989" s="11"/>
      <c r="B989" s="11"/>
      <c r="C989" s="11"/>
      <c r="D989" s="11"/>
    </row>
    <row r="990">
      <c r="A990" s="11"/>
      <c r="B990" s="11"/>
      <c r="C990" s="11"/>
      <c r="D990" s="11"/>
    </row>
    <row r="991">
      <c r="A991" s="11"/>
      <c r="B991" s="11"/>
      <c r="C991" s="11"/>
      <c r="D991" s="11"/>
    </row>
    <row r="992">
      <c r="A992" s="11"/>
      <c r="B992" s="11"/>
      <c r="C992" s="11"/>
      <c r="D992" s="11"/>
    </row>
    <row r="993">
      <c r="A993" s="11"/>
      <c r="B993" s="11"/>
      <c r="C993" s="11"/>
      <c r="D993" s="11"/>
    </row>
    <row r="994">
      <c r="A994" s="11"/>
      <c r="B994" s="11"/>
      <c r="C994" s="11"/>
      <c r="D994" s="11"/>
    </row>
    <row r="995">
      <c r="A995" s="11"/>
      <c r="B995" s="11"/>
      <c r="C995" s="11"/>
      <c r="D995" s="11"/>
    </row>
    <row r="996">
      <c r="A996" s="11"/>
      <c r="B996" s="11"/>
      <c r="C996" s="11"/>
      <c r="D996" s="11"/>
    </row>
    <row r="997">
      <c r="A997" s="11"/>
      <c r="B997" s="11"/>
      <c r="C997" s="11"/>
      <c r="D997" s="11"/>
    </row>
    <row r="998">
      <c r="A998" s="11"/>
      <c r="B998" s="11"/>
      <c r="C998" s="11"/>
      <c r="D998" s="11"/>
    </row>
    <row r="999">
      <c r="A999" s="11"/>
      <c r="B999" s="11"/>
      <c r="C999" s="11"/>
      <c r="D999" s="11"/>
    </row>
    <row r="1000">
      <c r="A1000" s="11"/>
      <c r="B1000" s="11"/>
      <c r="C1000" s="11"/>
      <c r="D1000" s="11"/>
    </row>
  </sheetData>
  <dataValidations>
    <dataValidation type="list" allowBlank="1" showErrorMessage="1" sqref="E2:E6">
      <formula1>"bleed,pierce,rupture,stun"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</cols>
  <sheetData>
    <row r="1">
      <c r="A1" s="14" t="s">
        <v>682</v>
      </c>
      <c r="B1" s="14" t="s">
        <v>683</v>
      </c>
      <c r="C1" s="14" t="s">
        <v>684</v>
      </c>
      <c r="D1" s="14" t="s">
        <v>210</v>
      </c>
      <c r="E1" s="14" t="s">
        <v>598</v>
      </c>
      <c r="F1" s="14" t="s">
        <v>685</v>
      </c>
      <c r="G1" s="14" t="s">
        <v>686</v>
      </c>
      <c r="H1" s="14" t="s">
        <v>104</v>
      </c>
      <c r="I1" s="14" t="s">
        <v>591</v>
      </c>
      <c r="J1" s="14" t="s">
        <v>290</v>
      </c>
      <c r="K1" s="14" t="s">
        <v>291</v>
      </c>
      <c r="L1" s="14" t="s">
        <v>659</v>
      </c>
      <c r="M1" s="14" t="s">
        <v>660</v>
      </c>
      <c r="N1" s="14" t="s">
        <v>286</v>
      </c>
      <c r="O1" s="14" t="s">
        <v>287</v>
      </c>
      <c r="P1" s="14" t="s">
        <v>288</v>
      </c>
      <c r="Q1" s="14" t="s">
        <v>289</v>
      </c>
      <c r="R1" s="14" t="s">
        <v>3</v>
      </c>
      <c r="S1" s="14" t="s">
        <v>48</v>
      </c>
      <c r="T1" s="14" t="s">
        <v>4</v>
      </c>
    </row>
    <row r="2">
      <c r="A2" s="14" t="s">
        <v>687</v>
      </c>
      <c r="B2" s="14" t="s">
        <v>688</v>
      </c>
      <c r="C2" s="14" t="s">
        <v>689</v>
      </c>
      <c r="D2" s="14" t="s">
        <v>690</v>
      </c>
      <c r="E2" s="14" t="s">
        <v>691</v>
      </c>
      <c r="F2" s="15">
        <v>1.0</v>
      </c>
      <c r="G2" s="15">
        <v>3.0</v>
      </c>
      <c r="H2" s="15">
        <v>4.0</v>
      </c>
      <c r="I2" s="15">
        <v>8.0</v>
      </c>
      <c r="J2" s="15">
        <v>35.0</v>
      </c>
      <c r="K2" s="15">
        <v>14.0</v>
      </c>
      <c r="L2" s="14" t="s">
        <v>692</v>
      </c>
      <c r="M2" s="14" t="s">
        <v>693</v>
      </c>
      <c r="N2" s="15">
        <v>0.0</v>
      </c>
      <c r="O2" s="15">
        <v>1.0</v>
      </c>
      <c r="P2" s="6">
        <v>0.0</v>
      </c>
      <c r="Q2" s="15">
        <v>0.0</v>
      </c>
      <c r="R2" s="14" t="s">
        <v>7</v>
      </c>
      <c r="S2" s="14" t="s">
        <v>694</v>
      </c>
      <c r="T2" s="8">
        <v>46210.0</v>
      </c>
    </row>
    <row r="3">
      <c r="A3" s="14" t="s">
        <v>695</v>
      </c>
      <c r="B3" s="14" t="s">
        <v>696</v>
      </c>
      <c r="C3" s="14" t="s">
        <v>697</v>
      </c>
      <c r="D3" s="14" t="s">
        <v>690</v>
      </c>
      <c r="E3" s="14" t="s">
        <v>665</v>
      </c>
      <c r="F3" s="15">
        <v>3.0</v>
      </c>
      <c r="G3" s="15">
        <v>6.0</v>
      </c>
      <c r="H3" s="15">
        <v>1.0</v>
      </c>
      <c r="I3" s="15">
        <v>15.0</v>
      </c>
      <c r="J3" s="15">
        <v>60.0</v>
      </c>
      <c r="K3" s="15">
        <v>8.0</v>
      </c>
      <c r="L3" s="14" t="s">
        <v>698</v>
      </c>
      <c r="M3" s="14" t="s">
        <v>693</v>
      </c>
      <c r="N3" s="15">
        <v>0.0</v>
      </c>
      <c r="O3" s="15">
        <v>0.0</v>
      </c>
      <c r="P3" s="15">
        <v>1.0</v>
      </c>
      <c r="Q3" s="15">
        <v>0.0</v>
      </c>
      <c r="R3" s="14" t="s">
        <v>7</v>
      </c>
      <c r="S3" s="14" t="s">
        <v>699</v>
      </c>
      <c r="T3" s="8">
        <v>46210.0</v>
      </c>
    </row>
    <row r="4">
      <c r="A4" s="14" t="s">
        <v>700</v>
      </c>
      <c r="B4" s="14" t="s">
        <v>701</v>
      </c>
      <c r="C4" s="14" t="s">
        <v>702</v>
      </c>
      <c r="D4" s="14" t="s">
        <v>703</v>
      </c>
      <c r="E4" s="14" t="s">
        <v>704</v>
      </c>
      <c r="F4" s="15">
        <v>4.0</v>
      </c>
      <c r="G4" s="15">
        <v>8.0</v>
      </c>
      <c r="H4" s="15">
        <v>3.0</v>
      </c>
      <c r="I4" s="15">
        <v>20.0</v>
      </c>
      <c r="J4" s="15">
        <v>60.0</v>
      </c>
      <c r="K4" s="15">
        <v>12.0</v>
      </c>
      <c r="L4" s="14" t="s">
        <v>705</v>
      </c>
      <c r="M4" s="14" t="s">
        <v>692</v>
      </c>
      <c r="N4" s="15">
        <v>0.0</v>
      </c>
      <c r="O4" s="15">
        <v>0.0</v>
      </c>
      <c r="P4" s="15">
        <v>1.0</v>
      </c>
      <c r="Q4" s="15">
        <v>0.0</v>
      </c>
      <c r="R4" s="14" t="s">
        <v>7</v>
      </c>
      <c r="S4" s="14" t="s">
        <v>706</v>
      </c>
      <c r="T4" s="8">
        <v>46210.0</v>
      </c>
    </row>
    <row r="5">
      <c r="A5" s="14" t="s">
        <v>707</v>
      </c>
      <c r="B5" s="14" t="s">
        <v>708</v>
      </c>
      <c r="C5" s="14" t="s">
        <v>709</v>
      </c>
      <c r="D5" s="14" t="s">
        <v>703</v>
      </c>
      <c r="E5" s="14" t="s">
        <v>665</v>
      </c>
      <c r="F5" s="15">
        <v>7.0</v>
      </c>
      <c r="G5" s="15">
        <v>13.0</v>
      </c>
      <c r="H5" s="15">
        <v>1.0</v>
      </c>
      <c r="I5" s="15">
        <v>25.0</v>
      </c>
      <c r="J5" s="15">
        <v>90.0</v>
      </c>
      <c r="K5" s="15">
        <v>6.0</v>
      </c>
      <c r="L5" s="14" t="s">
        <v>705</v>
      </c>
      <c r="M5" s="14" t="s">
        <v>692</v>
      </c>
      <c r="N5" s="15">
        <v>0.0</v>
      </c>
      <c r="O5" s="15">
        <v>0.0</v>
      </c>
      <c r="P5" s="15">
        <v>1.0</v>
      </c>
      <c r="Q5" s="15">
        <v>0.0</v>
      </c>
      <c r="R5" s="14" t="s">
        <v>7</v>
      </c>
      <c r="S5" s="14" t="s">
        <v>699</v>
      </c>
      <c r="T5" s="8">
        <v>46210.0</v>
      </c>
    </row>
    <row r="6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</row>
    <row r="8">
      <c r="T8" s="2"/>
    </row>
    <row r="9">
      <c r="T9" s="2"/>
    </row>
    <row r="10">
      <c r="T10" s="2"/>
    </row>
    <row r="11">
      <c r="T11" s="2"/>
    </row>
  </sheetData>
  <dataValidations>
    <dataValidation type="list" allowBlank="1" showErrorMessage="1" sqref="E2:E5">
      <formula1>"금속,섬유,합성"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88"/>
  </cols>
  <sheetData>
    <row r="1">
      <c r="A1" s="13" t="str">
        <f>IFERROR(__xludf.DUMMYFUNCTION("{
""ItemID"",""이름(KR)"",""이름(EN)"",""Category"";
QUERY({Item!A2:D3498; Weapon!A2:D3498; Armor!A2:D3498; Artifact!A2:D3498}, ""select * where Col1 is not null"", 0)
}"),"ItemID")</f>
        <v>ItemID</v>
      </c>
      <c r="B1" s="13" t="str">
        <f>IFERROR(__xludf.DUMMYFUNCTION("""COMPUTED_VALUE"""),"이름(KR)")</f>
        <v>이름(KR)</v>
      </c>
      <c r="C1" s="13" t="str">
        <f>IFERROR(__xludf.DUMMYFUNCTION("""COMPUTED_VALUE"""),"이름(EN)")</f>
        <v>이름(EN)</v>
      </c>
      <c r="D1" s="13" t="str">
        <f>IFERROR(__xludf.DUMMYFUNCTION("""COMPUTED_VALUE"""),"Category")</f>
        <v>Category</v>
      </c>
    </row>
    <row r="2">
      <c r="A2" s="13" t="str">
        <f>IFERROR(__xludf.DUMMYFUNCTION("""COMPUTED_VALUE"""),"item_scrap_metal")</f>
        <v>item_scrap_metal</v>
      </c>
      <c r="B2" s="13" t="str">
        <f>IFERROR(__xludf.DUMMYFUNCTION("""COMPUTED_VALUE"""),"고철")</f>
        <v>고철</v>
      </c>
      <c r="C2" s="13" t="str">
        <f>IFERROR(__xludf.DUMMYFUNCTION("""COMPUTED_VALUE"""),"Scrap Metal")</f>
        <v>Scrap Metal</v>
      </c>
      <c r="D2" s="13" t="str">
        <f>IFERROR(__xludf.DUMMYFUNCTION("""COMPUTED_VALUE"""),"Junk")</f>
        <v>Junk</v>
      </c>
    </row>
    <row r="3">
      <c r="A3" s="13" t="str">
        <f>IFERROR(__xludf.DUMMYFUNCTION("""COMPUTED_VALUE"""),"item_electronic_parts")</f>
        <v>item_electronic_parts</v>
      </c>
      <c r="B3" s="13" t="str">
        <f>IFERROR(__xludf.DUMMYFUNCTION("""COMPUTED_VALUE"""),"전자 부품")</f>
        <v>전자 부품</v>
      </c>
      <c r="C3" s="13" t="str">
        <f>IFERROR(__xludf.DUMMYFUNCTION("""COMPUTED_VALUE"""),"Electronic Parts")</f>
        <v>Electronic Parts</v>
      </c>
      <c r="D3" s="13" t="str">
        <f>IFERROR(__xludf.DUMMYFUNCTION("""COMPUTED_VALUE"""),"Junk")</f>
        <v>Junk</v>
      </c>
    </row>
    <row r="4">
      <c r="A4" s="13" t="str">
        <f>IFERROR(__xludf.DUMMYFUNCTION("""COMPUTED_VALUE"""),"item_machine_parts")</f>
        <v>item_machine_parts</v>
      </c>
      <c r="B4" s="13" t="str">
        <f>IFERROR(__xludf.DUMMYFUNCTION("""COMPUTED_VALUE"""),"기계 부품")</f>
        <v>기계 부품</v>
      </c>
      <c r="C4" s="13" t="str">
        <f>IFERROR(__xludf.DUMMYFUNCTION("""COMPUTED_VALUE"""),"Machine Parts")</f>
        <v>Machine Parts</v>
      </c>
      <c r="D4" s="13" t="str">
        <f>IFERROR(__xludf.DUMMYFUNCTION("""COMPUTED_VALUE"""),"Junk")</f>
        <v>Junk</v>
      </c>
    </row>
    <row r="5">
      <c r="A5" s="13" t="str">
        <f>IFERROR(__xludf.DUMMYFUNCTION("""COMPUTED_VALUE"""),"item_mutant_tissue")</f>
        <v>item_mutant_tissue</v>
      </c>
      <c r="B5" s="13" t="str">
        <f>IFERROR(__xludf.DUMMYFUNCTION("""COMPUTED_VALUE"""),"변이 조직")</f>
        <v>변이 조직</v>
      </c>
      <c r="C5" s="13" t="str">
        <f>IFERROR(__xludf.DUMMYFUNCTION("""COMPUTED_VALUE"""),"Mutant Tissue")</f>
        <v>Mutant Tissue</v>
      </c>
      <c r="D5" s="13" t="str">
        <f>IFERROR(__xludf.DUMMYFUNCTION("""COMPUTED_VALUE"""),"Junk")</f>
        <v>Junk</v>
      </c>
    </row>
    <row r="6">
      <c r="A6" s="13" t="str">
        <f>IFERROR(__xludf.DUMMYFUNCTION("""COMPUTED_VALUE"""),"item_old_rope")</f>
        <v>item_old_rope</v>
      </c>
      <c r="B6" s="13" t="str">
        <f>IFERROR(__xludf.DUMMYFUNCTION("""COMPUTED_VALUE"""),"낡은 로프")</f>
        <v>낡은 로프</v>
      </c>
      <c r="C6" s="13" t="str">
        <f>IFERROR(__xludf.DUMMYFUNCTION("""COMPUTED_VALUE"""),"Old Rope")</f>
        <v>Old Rope</v>
      </c>
      <c r="D6" s="13" t="str">
        <f>IFERROR(__xludf.DUMMYFUNCTION("""COMPUTED_VALUE"""),"Junk")</f>
        <v>Junk</v>
      </c>
    </row>
    <row r="7">
      <c r="A7" s="13" t="str">
        <f>IFERROR(__xludf.DUMMYFUNCTION("""COMPUTED_VALUE"""),"item_food_coffee")</f>
        <v>item_food_coffee</v>
      </c>
      <c r="B7" s="13" t="str">
        <f>IFERROR(__xludf.DUMMYFUNCTION("""COMPUTED_VALUE"""),"원두 한 줌")</f>
        <v>원두 한 줌</v>
      </c>
      <c r="C7" s="13" t="str">
        <f>IFERROR(__xludf.DUMMYFUNCTION("""COMPUTED_VALUE"""),"Handful of Coffee Beans")</f>
        <v>Handful of Coffee Beans</v>
      </c>
      <c r="D7" s="13" t="str">
        <f>IFERROR(__xludf.DUMMYFUNCTION("""COMPUTED_VALUE"""),"Food")</f>
        <v>Food</v>
      </c>
    </row>
    <row r="8">
      <c r="A8" s="13" t="str">
        <f>IFERROR(__xludf.DUMMYFUNCTION("""COMPUTED_VALUE"""),"item_food_jerky")</f>
        <v>item_food_jerky</v>
      </c>
      <c r="B8" s="13" t="str">
        <f>IFERROR(__xludf.DUMMYFUNCTION("""COMPUTED_VALUE"""),"훈제육")</f>
        <v>훈제육</v>
      </c>
      <c r="C8" s="13" t="str">
        <f>IFERROR(__xludf.DUMMYFUNCTION("""COMPUTED_VALUE"""),"Smoked Jerky")</f>
        <v>Smoked Jerky</v>
      </c>
      <c r="D8" s="13" t="str">
        <f>IFERROR(__xludf.DUMMYFUNCTION("""COMPUTED_VALUE"""),"Food")</f>
        <v>Food</v>
      </c>
    </row>
    <row r="9">
      <c r="A9" s="13" t="str">
        <f>IFERROR(__xludf.DUMMYFUNCTION("""COMPUTED_VALUE"""),"item_food_stew")</f>
        <v>item_food_stew</v>
      </c>
      <c r="B9" s="13" t="str">
        <f>IFERROR(__xludf.DUMMYFUNCTION("""COMPUTED_VALUE"""),"영양 스튜")</f>
        <v>영양 스튜</v>
      </c>
      <c r="C9" s="13" t="str">
        <f>IFERROR(__xludf.DUMMYFUNCTION("""COMPUTED_VALUE"""),"Nourishing Stew")</f>
        <v>Nourishing Stew</v>
      </c>
      <c r="D9" s="13" t="str">
        <f>IFERROR(__xludf.DUMMYFUNCTION("""COMPUTED_VALUE"""),"Food")</f>
        <v>Food</v>
      </c>
    </row>
    <row r="10">
      <c r="A10" s="13" t="str">
        <f>IFERROR(__xludf.DUMMYFUNCTION("""COMPUTED_VALUE"""),"item_food_canfruit")</f>
        <v>item_food_canfruit</v>
      </c>
      <c r="B10" s="13" t="str">
        <f>IFERROR(__xludf.DUMMYFUNCTION("""COMPUTED_VALUE"""),"통조림 과일")</f>
        <v>통조림 과일</v>
      </c>
      <c r="C10" s="13" t="str">
        <f>IFERROR(__xludf.DUMMYFUNCTION("""COMPUTED_VALUE"""),"Canned Fruit")</f>
        <v>Canned Fruit</v>
      </c>
      <c r="D10" s="13" t="str">
        <f>IFERROR(__xludf.DUMMYFUNCTION("""COMPUTED_VALUE"""),"Food")</f>
        <v>Food</v>
      </c>
    </row>
    <row r="11">
      <c r="A11" s="13" t="str">
        <f>IFERROR(__xludf.DUMMYFUNCTION("""COMPUTED_VALUE"""),"item_food_energybar")</f>
        <v>item_food_energybar</v>
      </c>
      <c r="B11" s="13" t="str">
        <f>IFERROR(__xludf.DUMMYFUNCTION("""COMPUTED_VALUE"""),"비상 식량바")</f>
        <v>비상 식량바</v>
      </c>
      <c r="C11" s="13" t="str">
        <f>IFERROR(__xludf.DUMMYFUNCTION("""COMPUTED_VALUE"""),"Emergency Ration Bar")</f>
        <v>Emergency Ration Bar</v>
      </c>
      <c r="D11" s="13" t="str">
        <f>IFERROR(__xludf.DUMMYFUNCTION("""COMPUTED_VALUE"""),"Food")</f>
        <v>Food</v>
      </c>
    </row>
    <row r="12">
      <c r="A12" s="13" t="str">
        <f>IFERROR(__xludf.DUMMYFUNCTION("""COMPUTED_VALUE"""),"item_med_bandage")</f>
        <v>item_med_bandage</v>
      </c>
      <c r="B12" s="13" t="str">
        <f>IFERROR(__xludf.DUMMYFUNCTION("""COMPUTED_VALUE"""),"붕대")</f>
        <v>붕대</v>
      </c>
      <c r="C12" s="13" t="str">
        <f>IFERROR(__xludf.DUMMYFUNCTION("""COMPUTED_VALUE"""),"Bandage")</f>
        <v>Bandage</v>
      </c>
      <c r="D12" s="13" t="str">
        <f>IFERROR(__xludf.DUMMYFUNCTION("""COMPUTED_VALUE"""),"Medicine")</f>
        <v>Medicine</v>
      </c>
    </row>
    <row r="13">
      <c r="A13" s="13" t="str">
        <f>IFERROR(__xludf.DUMMYFUNCTION("""COMPUTED_VALUE"""),"item_med_kit")</f>
        <v>item_med_kit</v>
      </c>
      <c r="B13" s="13" t="str">
        <f>IFERROR(__xludf.DUMMYFUNCTION("""COMPUTED_VALUE"""),"응급 키트")</f>
        <v>응급 키트</v>
      </c>
      <c r="C13" s="13" t="str">
        <f>IFERROR(__xludf.DUMMYFUNCTION("""COMPUTED_VALUE"""),"First-aid Kit")</f>
        <v>First-aid Kit</v>
      </c>
      <c r="D13" s="13" t="str">
        <f>IFERROR(__xludf.DUMMYFUNCTION("""COMPUTED_VALUE"""),"Medicine")</f>
        <v>Medicine</v>
      </c>
    </row>
    <row r="14">
      <c r="A14" s="13" t="str">
        <f>IFERROR(__xludf.DUMMYFUNCTION("""COMPUTED_VALUE"""),"item_med_syringe")</f>
        <v>item_med_syringe</v>
      </c>
      <c r="B14" s="13" t="str">
        <f>IFERROR(__xludf.DUMMYFUNCTION("""COMPUTED_VALUE"""),"지혈 주사기")</f>
        <v>지혈 주사기</v>
      </c>
      <c r="C14" s="13" t="str">
        <f>IFERROR(__xludf.DUMMYFUNCTION("""COMPUTED_VALUE"""),"Hemostatic Syringe")</f>
        <v>Hemostatic Syringe</v>
      </c>
      <c r="D14" s="13" t="str">
        <f>IFERROR(__xludf.DUMMYFUNCTION("""COMPUTED_VALUE"""),"Medicine")</f>
        <v>Medicine</v>
      </c>
    </row>
    <row r="15">
      <c r="A15" s="13" t="str">
        <f>IFERROR(__xludf.DUMMYFUNCTION("""COMPUTED_VALUE"""),"item_med_painkiller")</f>
        <v>item_med_painkiller</v>
      </c>
      <c r="B15" s="13" t="str">
        <f>IFERROR(__xludf.DUMMYFUNCTION("""COMPUTED_VALUE"""),"진통제")</f>
        <v>진통제</v>
      </c>
      <c r="C15" s="13" t="str">
        <f>IFERROR(__xludf.DUMMYFUNCTION("""COMPUTED_VALUE"""),"Painkiller")</f>
        <v>Painkiller</v>
      </c>
      <c r="D15" s="13" t="str">
        <f>IFERROR(__xludf.DUMMYFUNCTION("""COMPUTED_VALUE"""),"Medicine")</f>
        <v>Medicine</v>
      </c>
    </row>
    <row r="16">
      <c r="A16" s="13" t="str">
        <f>IFERROR(__xludf.DUMMYFUNCTION("""COMPUTED_VALUE"""),"item_med_antidote")</f>
        <v>item_med_antidote</v>
      </c>
      <c r="B16" s="13" t="str">
        <f>IFERROR(__xludf.DUMMYFUNCTION("""COMPUTED_VALUE"""),"해독제")</f>
        <v>해독제</v>
      </c>
      <c r="C16" s="13" t="str">
        <f>IFERROR(__xludf.DUMMYFUNCTION("""COMPUTED_VALUE"""),"Antidote")</f>
        <v>Antidote</v>
      </c>
      <c r="D16" s="13" t="str">
        <f>IFERROR(__xludf.DUMMYFUNCTION("""COMPUTED_VALUE"""),"Medicine")</f>
        <v>Medicine</v>
      </c>
    </row>
    <row r="17">
      <c r="A17" s="13" t="str">
        <f>IFERROR(__xludf.DUMMYFUNCTION("""COMPUTED_VALUE"""),"item_quest_photo")</f>
        <v>item_quest_photo</v>
      </c>
      <c r="B17" s="13" t="str">
        <f>IFERROR(__xludf.DUMMYFUNCTION("""COMPUTED_VALUE"""),"낡은 사진")</f>
        <v>낡은 사진</v>
      </c>
      <c r="C17" s="13" t="str">
        <f>IFERROR(__xludf.DUMMYFUNCTION("""COMPUTED_VALUE"""),"Old Photograph")</f>
        <v>Old Photograph</v>
      </c>
      <c r="D17" s="13" t="str">
        <f>IFERROR(__xludf.DUMMYFUNCTION("""COMPUTED_VALUE"""),"Quest")</f>
        <v>Quest</v>
      </c>
    </row>
    <row r="18">
      <c r="A18" s="13" t="str">
        <f>IFERROR(__xludf.DUMMYFUNCTION("""COMPUTED_VALUE"""),"item_quest_dogtag")</f>
        <v>item_quest_dogtag</v>
      </c>
      <c r="B18" s="13" t="str">
        <f>IFERROR(__xludf.DUMMYFUNCTION("""COMPUTED_VALUE"""),"낡은 군번줄")</f>
        <v>낡은 군번줄</v>
      </c>
      <c r="C18" s="13" t="str">
        <f>IFERROR(__xludf.DUMMYFUNCTION("""COMPUTED_VALUE"""),"Worn Dog Tag")</f>
        <v>Worn Dog Tag</v>
      </c>
      <c r="D18" s="13" t="str">
        <f>IFERROR(__xludf.DUMMYFUNCTION("""COMPUTED_VALUE"""),"Quest")</f>
        <v>Quest</v>
      </c>
    </row>
    <row r="19">
      <c r="A19" s="13" t="str">
        <f>IFERROR(__xludf.DUMMYFUNCTION("""COMPUTED_VALUE"""),"item_quest_letter")</f>
        <v>item_quest_letter</v>
      </c>
      <c r="B19" s="13" t="str">
        <f>IFERROR(__xludf.DUMMYFUNCTION("""COMPUTED_VALUE"""),"봉인된 편지")</f>
        <v>봉인된 편지</v>
      </c>
      <c r="C19" s="13" t="str">
        <f>IFERROR(__xludf.DUMMYFUNCTION("""COMPUTED_VALUE"""),"Sealed Letter")</f>
        <v>Sealed Letter</v>
      </c>
      <c r="D19" s="13" t="str">
        <f>IFERROR(__xludf.DUMMYFUNCTION("""COMPUTED_VALUE"""),"Quest")</f>
        <v>Quest</v>
      </c>
    </row>
    <row r="20">
      <c r="A20" s="13" t="str">
        <f>IFERROR(__xludf.DUMMYFUNCTION("""COMPUTED_VALUE"""),"item_quest_keydata")</f>
        <v>item_quest_keydata</v>
      </c>
      <c r="B20" s="13" t="str">
        <f>IFERROR(__xludf.DUMMYFUNCTION("""COMPUTED_VALUE"""),"손상된 USB")</f>
        <v>손상된 USB</v>
      </c>
      <c r="C20" s="13" t="str">
        <f>IFERROR(__xludf.DUMMYFUNCTION("""COMPUTED_VALUE"""),"Damaged USB")</f>
        <v>Damaged USB</v>
      </c>
      <c r="D20" s="13" t="str">
        <f>IFERROR(__xludf.DUMMYFUNCTION("""COMPUTED_VALUE"""),"Quest")</f>
        <v>Quest</v>
      </c>
    </row>
    <row r="21">
      <c r="A21" s="13" t="str">
        <f>IFERROR(__xludf.DUMMYFUNCTION("""COMPUTED_VALUE"""),"item_quest_medallion")</f>
        <v>item_quest_medallion</v>
      </c>
      <c r="B21" s="13" t="str">
        <f>IFERROR(__xludf.DUMMYFUNCTION("""COMPUTED_VALUE"""),"빛바랜 훈장")</f>
        <v>빛바랜 훈장</v>
      </c>
      <c r="C21" s="13" t="str">
        <f>IFERROR(__xludf.DUMMYFUNCTION("""COMPUTED_VALUE"""),"Faded Medallion")</f>
        <v>Faded Medallion</v>
      </c>
      <c r="D21" s="13" t="str">
        <f>IFERROR(__xludf.DUMMYFUNCTION("""COMPUTED_VALUE"""),"Quest")</f>
        <v>Quest</v>
      </c>
    </row>
    <row r="22">
      <c r="A22" s="13" t="str">
        <f>IFERROR(__xludf.DUMMYFUNCTION("""COMPUTED_VALUE"""),"item_police_keycard")</f>
        <v>item_police_keycard</v>
      </c>
      <c r="B22" s="13" t="str">
        <f>IFERROR(__xludf.DUMMYFUNCTION("""COMPUTED_VALUE"""),"경찰서 키카드")</f>
        <v>경찰서 키카드</v>
      </c>
      <c r="C22" s="13" t="str">
        <f>IFERROR(__xludf.DUMMYFUNCTION("""COMPUTED_VALUE"""),"Police Keycard")</f>
        <v>Police Keycard</v>
      </c>
      <c r="D22" s="13" t="str">
        <f>IFERROR(__xludf.DUMMYFUNCTION("""COMPUTED_VALUE"""),"Key")</f>
        <v>Key</v>
      </c>
    </row>
    <row r="23">
      <c r="A23" s="13" t="str">
        <f>IFERROR(__xludf.DUMMYFUNCTION("""COMPUTED_VALUE"""),"item_submarine_key")</f>
        <v>item_submarine_key</v>
      </c>
      <c r="B23" s="13" t="str">
        <f>IFERROR(__xludf.DUMMYFUNCTION("""COMPUTED_VALUE"""),"잠수함 해치 키")</f>
        <v>잠수함 해치 키</v>
      </c>
      <c r="C23" s="13" t="str">
        <f>IFERROR(__xludf.DUMMYFUNCTION("""COMPUTED_VALUE"""),"Submarine Hatch Key")</f>
        <v>Submarine Hatch Key</v>
      </c>
      <c r="D23" s="13" t="str">
        <f>IFERROR(__xludf.DUMMYFUNCTION("""COMPUTED_VALUE"""),"Key")</f>
        <v>Key</v>
      </c>
    </row>
    <row r="24">
      <c r="A24" s="13" t="str">
        <f>IFERROR(__xludf.DUMMYFUNCTION("""COMPUTED_VALUE"""),"item_a4_paper")</f>
        <v>item_a4_paper</v>
      </c>
      <c r="B24" s="13" t="str">
        <f>IFERROR(__xludf.DUMMYFUNCTION("""COMPUTED_VALUE"""),"종이 용지")</f>
        <v>종이 용지</v>
      </c>
      <c r="C24" s="13" t="str">
        <f>IFERROR(__xludf.DUMMYFUNCTION("""COMPUTED_VALUE"""),"Print Paper")</f>
        <v>Print Paper</v>
      </c>
      <c r="D24" s="13" t="str">
        <f>IFERROR(__xludf.DUMMYFUNCTION("""COMPUTED_VALUE"""),"Junk")</f>
        <v>Junk</v>
      </c>
    </row>
    <row r="25">
      <c r="A25" s="13" t="str">
        <f>IFERROR(__xludf.DUMMYFUNCTION("""COMPUTED_VALUE"""),"item_banana")</f>
        <v>item_banana</v>
      </c>
      <c r="B25" s="13" t="str">
        <f>IFERROR(__xludf.DUMMYFUNCTION("""COMPUTED_VALUE"""),"썩은 바나나")</f>
        <v>썩은 바나나</v>
      </c>
      <c r="C25" s="13" t="str">
        <f>IFERROR(__xludf.DUMMYFUNCTION("""COMPUTED_VALUE"""),"Banana")</f>
        <v>Banana</v>
      </c>
      <c r="D25" s="13" t="str">
        <f>IFERROR(__xludf.DUMMYFUNCTION("""COMPUTED_VALUE"""),"Food")</f>
        <v>Food</v>
      </c>
    </row>
    <row r="26">
      <c r="A26" s="13" t="str">
        <f>IFERROR(__xludf.DUMMYFUNCTION("""COMPUTED_VALUE"""),"weapon_iron_pipe")</f>
        <v>weapon_iron_pipe</v>
      </c>
      <c r="B26" s="13" t="str">
        <f>IFERROR(__xludf.DUMMYFUNCTION("""COMPUTED_VALUE"""),"쇠파이프")</f>
        <v>쇠파이프</v>
      </c>
      <c r="C26" s="13" t="str">
        <f>IFERROR(__xludf.DUMMYFUNCTION("""COMPUTED_VALUE"""),"Iron Pipe")</f>
        <v>Iron Pipe</v>
      </c>
      <c r="D26" s="13" t="str">
        <f>IFERROR(__xludf.DUMMYFUNCTION("""COMPUTED_VALUE"""),"Weapon")</f>
        <v>Weapon</v>
      </c>
    </row>
    <row r="27">
      <c r="A27" s="13" t="str">
        <f>IFERROR(__xludf.DUMMYFUNCTION("""COMPUTED_VALUE"""),"weapon_wooden_sword")</f>
        <v>weapon_wooden_sword</v>
      </c>
      <c r="B27" s="13" t="str">
        <f>IFERROR(__xludf.DUMMYFUNCTION("""COMPUTED_VALUE"""),"목검")</f>
        <v>목검</v>
      </c>
      <c r="C27" s="13" t="str">
        <f>IFERROR(__xludf.DUMMYFUNCTION("""COMPUTED_VALUE"""),"Wooden Sword")</f>
        <v>Wooden Sword</v>
      </c>
      <c r="D27" s="13" t="str">
        <f>IFERROR(__xludf.DUMMYFUNCTION("""COMPUTED_VALUE"""),"Weapon")</f>
        <v>Weapon</v>
      </c>
    </row>
    <row r="28">
      <c r="A28" s="13" t="str">
        <f>IFERROR(__xludf.DUMMYFUNCTION("""COMPUTED_VALUE"""),"weapon_spear")</f>
        <v>weapon_spear</v>
      </c>
      <c r="B28" s="13" t="str">
        <f>IFERROR(__xludf.DUMMYFUNCTION("""COMPUTED_VALUE"""),"장창")</f>
        <v>장창</v>
      </c>
      <c r="C28" s="13" t="str">
        <f>IFERROR(__xludf.DUMMYFUNCTION("""COMPUTED_VALUE"""),"Spear")</f>
        <v>Spear</v>
      </c>
      <c r="D28" s="13" t="str">
        <f>IFERROR(__xludf.DUMMYFUNCTION("""COMPUTED_VALUE"""),"Weapon")</f>
        <v>Weapon</v>
      </c>
    </row>
    <row r="29">
      <c r="A29" s="13" t="str">
        <f>IFERROR(__xludf.DUMMYFUNCTION("""COMPUTED_VALUE"""),"weapon_sledgehammer")</f>
        <v>weapon_sledgehammer</v>
      </c>
      <c r="B29" s="13" t="str">
        <f>IFERROR(__xludf.DUMMYFUNCTION("""COMPUTED_VALUE"""),"대형 해머")</f>
        <v>대형 해머</v>
      </c>
      <c r="C29" s="13" t="str">
        <f>IFERROR(__xludf.DUMMYFUNCTION("""COMPUTED_VALUE"""),"Sledgehammer")</f>
        <v>Sledgehammer</v>
      </c>
      <c r="D29" s="13" t="str">
        <f>IFERROR(__xludf.DUMMYFUNCTION("""COMPUTED_VALUE"""),"Weapon")</f>
        <v>Weapon</v>
      </c>
    </row>
    <row r="30">
      <c r="A30" s="13" t="str">
        <f>IFERROR(__xludf.DUMMYFUNCTION("""COMPUTED_VALUE"""),"weapon_hatchet")</f>
        <v>weapon_hatchet</v>
      </c>
      <c r="B30" s="13" t="str">
        <f>IFERROR(__xludf.DUMMYFUNCTION("""COMPUTED_VALUE"""),"손도끼")</f>
        <v>손도끼</v>
      </c>
      <c r="C30" s="13" t="str">
        <f>IFERROR(__xludf.DUMMYFUNCTION("""COMPUTED_VALUE"""),"Hatchet")</f>
        <v>Hatchet</v>
      </c>
      <c r="D30" s="13" t="str">
        <f>IFERROR(__xludf.DUMMYFUNCTION("""COMPUTED_VALUE"""),"Weapon")</f>
        <v>Weapon</v>
      </c>
    </row>
    <row r="31">
      <c r="A31" s="13" t="str">
        <f>IFERROR(__xludf.DUMMYFUNCTION("""COMPUTED_VALUE"""),"armor_cloth_hood")</f>
        <v>armor_cloth_hood</v>
      </c>
      <c r="B31" s="13" t="str">
        <f>IFERROR(__xludf.DUMMYFUNCTION("""COMPUTED_VALUE"""),"천 후드")</f>
        <v>천 후드</v>
      </c>
      <c r="C31" s="13" t="str">
        <f>IFERROR(__xludf.DUMMYFUNCTION("""COMPUTED_VALUE"""),"Cloth Hood")</f>
        <v>Cloth Hood</v>
      </c>
      <c r="D31" s="13" t="str">
        <f>IFERROR(__xludf.DUMMYFUNCTION("""COMPUTED_VALUE"""),"Head")</f>
        <v>Head</v>
      </c>
    </row>
    <row r="32">
      <c r="A32" s="13" t="str">
        <f>IFERROR(__xludf.DUMMYFUNCTION("""COMPUTED_VALUE"""),"armor_steel_helmet")</f>
        <v>armor_steel_helmet</v>
      </c>
      <c r="B32" s="13" t="str">
        <f>IFERROR(__xludf.DUMMYFUNCTION("""COMPUTED_VALUE"""),"철제 투구")</f>
        <v>철제 투구</v>
      </c>
      <c r="C32" s="13" t="str">
        <f>IFERROR(__xludf.DUMMYFUNCTION("""COMPUTED_VALUE"""),"Steel Helmet")</f>
        <v>Steel Helmet</v>
      </c>
      <c r="D32" s="13" t="str">
        <f>IFERROR(__xludf.DUMMYFUNCTION("""COMPUTED_VALUE"""),"Head")</f>
        <v>Head</v>
      </c>
    </row>
    <row r="33">
      <c r="A33" s="13" t="str">
        <f>IFERROR(__xludf.DUMMYFUNCTION("""COMPUTED_VALUE"""),"armor_leather_jacket")</f>
        <v>armor_leather_jacket</v>
      </c>
      <c r="B33" s="13" t="str">
        <f>IFERROR(__xludf.DUMMYFUNCTION("""COMPUTED_VALUE"""),"가죽 재킷")</f>
        <v>가죽 재킷</v>
      </c>
      <c r="C33" s="13" t="str">
        <f>IFERROR(__xludf.DUMMYFUNCTION("""COMPUTED_VALUE"""),"Leather Jacket")</f>
        <v>Leather Jacket</v>
      </c>
      <c r="D33" s="13" t="str">
        <f>IFERROR(__xludf.DUMMYFUNCTION("""COMPUTED_VALUE"""),"Body")</f>
        <v>Body</v>
      </c>
    </row>
    <row r="34">
      <c r="A34" s="13" t="str">
        <f>IFERROR(__xludf.DUMMYFUNCTION("""COMPUTED_VALUE"""),"armor_steel_plate")</f>
        <v>armor_steel_plate</v>
      </c>
      <c r="B34" s="13" t="str">
        <f>IFERROR(__xludf.DUMMYFUNCTION("""COMPUTED_VALUE"""),"철제 갑옷")</f>
        <v>철제 갑옷</v>
      </c>
      <c r="C34" s="13" t="str">
        <f>IFERROR(__xludf.DUMMYFUNCTION("""COMPUTED_VALUE"""),"Steel Plate")</f>
        <v>Steel Plate</v>
      </c>
      <c r="D34" s="13" t="str">
        <f>IFERROR(__xludf.DUMMYFUNCTION("""COMPUTED_VALUE"""),"Body")</f>
        <v>Body</v>
      </c>
    </row>
    <row r="35">
      <c r="A35" s="13" t="str">
        <f>IFERROR(__xludf.DUMMYFUNCTION("""COMPUTED_VALUE"""),"art_watch_worn")</f>
        <v>art_watch_worn</v>
      </c>
      <c r="B35" s="13" t="str">
        <f>IFERROR(__xludf.DUMMYFUNCTION("""COMPUTED_VALUE"""),"낡은 손목시계")</f>
        <v>낡은 손목시계</v>
      </c>
      <c r="C35" s="13" t="str">
        <f>IFERROR(__xludf.DUMMYFUNCTION("""COMPUTED_VALUE"""),"Worn Wristwatch")</f>
        <v>Worn Wristwatch</v>
      </c>
      <c r="D35" s="13" t="str">
        <f>IFERROR(__xludf.DUMMYFUNCTION("""COMPUTED_VALUE"""),"Artifact_Worn")</f>
        <v>Artifact_Worn</v>
      </c>
    </row>
    <row r="36">
      <c r="A36" s="13" t="str">
        <f>IFERROR(__xludf.DUMMYFUNCTION("""COMPUTED_VALUE"""),"art_ring_iron")</f>
        <v>art_ring_iron</v>
      </c>
      <c r="B36" s="13" t="str">
        <f>IFERROR(__xludf.DUMMYFUNCTION("""COMPUTED_VALUE"""),"무쇠 반지")</f>
        <v>무쇠 반지</v>
      </c>
      <c r="C36" s="13" t="str">
        <f>IFERROR(__xludf.DUMMYFUNCTION("""COMPUTED_VALUE"""),"Iron Ring")</f>
        <v>Iron Ring</v>
      </c>
      <c r="D36" s="13" t="str">
        <f>IFERROR(__xludf.DUMMYFUNCTION("""COMPUTED_VALUE"""),"Artifact_Worn")</f>
        <v>Artifact_Worn</v>
      </c>
    </row>
    <row r="37">
      <c r="A37" s="13" t="str">
        <f>IFERROR(__xludf.DUMMYFUNCTION("""COMPUTED_VALUE"""),"art_necklace_old")</f>
        <v>art_necklace_old</v>
      </c>
      <c r="B37" s="13" t="str">
        <f>IFERROR(__xludf.DUMMYFUNCTION("""COMPUTED_VALUE"""),"오래된 목걸이")</f>
        <v>오래된 목걸이</v>
      </c>
      <c r="C37" s="13" t="str">
        <f>IFERROR(__xludf.DUMMYFUNCTION("""COMPUTED_VALUE"""),"Old Necklace")</f>
        <v>Old Necklace</v>
      </c>
      <c r="D37" s="13" t="str">
        <f>IFERROR(__xludf.DUMMYFUNCTION("""COMPUTED_VALUE"""),"Artifact_Worn")</f>
        <v>Artifact_Worn</v>
      </c>
    </row>
    <row r="38">
      <c r="A38" s="13" t="str">
        <f>IFERROR(__xludf.DUMMYFUNCTION("""COMPUTED_VALUE"""),"art_shoes_worn")</f>
        <v>art_shoes_worn</v>
      </c>
      <c r="B38" s="13" t="str">
        <f>IFERROR(__xludf.DUMMYFUNCTION("""COMPUTED_VALUE"""),"낡은 운동화")</f>
        <v>낡은 운동화</v>
      </c>
      <c r="C38" s="13" t="str">
        <f>IFERROR(__xludf.DUMMYFUNCTION("""COMPUTED_VALUE"""),"Worn Sneakers")</f>
        <v>Worn Sneakers</v>
      </c>
      <c r="D38" s="13" t="str">
        <f>IFERROR(__xludf.DUMMYFUNCTION("""COMPUTED_VALUE"""),"Artifact_Worn")</f>
        <v>Artifact_Worn</v>
      </c>
    </row>
    <row r="39">
      <c r="A39" s="13" t="str">
        <f>IFERROR(__xludf.DUMMYFUNCTION("""COMPUTED_VALUE"""),"art_boots_heavy")</f>
        <v>art_boots_heavy</v>
      </c>
      <c r="B39" s="13" t="str">
        <f>IFERROR(__xludf.DUMMYFUNCTION("""COMPUTED_VALUE"""),"무거운 군화")</f>
        <v>무거운 군화</v>
      </c>
      <c r="C39" s="13" t="str">
        <f>IFERROR(__xludf.DUMMYFUNCTION("""COMPUTED_VALUE"""),"Heavy Combat Boots")</f>
        <v>Heavy Combat Boots</v>
      </c>
      <c r="D39" s="13" t="str">
        <f>IFERROR(__xludf.DUMMYFUNCTION("""COMPUTED_VALUE"""),"Artifact_Worn")</f>
        <v>Artifact_Worn</v>
      </c>
    </row>
    <row r="40">
      <c r="A40" s="13" t="str">
        <f>IFERROR(__xludf.DUMMYFUNCTION("""COMPUTED_VALUE"""),"art_charm_paper")</f>
        <v>art_charm_paper</v>
      </c>
      <c r="B40" s="13" t="str">
        <f>IFERROR(__xludf.DUMMYFUNCTION("""COMPUTED_VALUE"""),"종이 부적")</f>
        <v>종이 부적</v>
      </c>
      <c r="C40" s="13" t="str">
        <f>IFERROR(__xludf.DUMMYFUNCTION("""COMPUTED_VALUE"""),"Paper Charm")</f>
        <v>Paper Charm</v>
      </c>
      <c r="D40" s="13" t="str">
        <f>IFERROR(__xludf.DUMMYFUNCTION("""COMPUTED_VALUE"""),"Artifact_Carried")</f>
        <v>Artifact_Carried</v>
      </c>
    </row>
    <row r="41">
      <c r="A41" s="13" t="str">
        <f>IFERROR(__xludf.DUMMYFUNCTION("""COMPUTED_VALUE"""),"art_magazine_old")</f>
        <v>art_magazine_old</v>
      </c>
      <c r="B41" s="13" t="str">
        <f>IFERROR(__xludf.DUMMYFUNCTION("""COMPUTED_VALUE"""),"옛날 잡지")</f>
        <v>옛날 잡지</v>
      </c>
      <c r="C41" s="13" t="str">
        <f>IFERROR(__xludf.DUMMYFUNCTION("""COMPUTED_VALUE"""),"Old Magazine")</f>
        <v>Old Magazine</v>
      </c>
      <c r="D41" s="13" t="str">
        <f>IFERROR(__xludf.DUMMYFUNCTION("""COMPUTED_VALUE"""),"Artifact_Carried")</f>
        <v>Artifact_Carried</v>
      </c>
    </row>
    <row r="42">
      <c r="A42" s="13" t="str">
        <f>IFERROR(__xludf.DUMMYFUNCTION("""COMPUTED_VALUE"""),"art_keychain_metal")</f>
        <v>art_keychain_metal</v>
      </c>
      <c r="B42" s="13" t="str">
        <f>IFERROR(__xludf.DUMMYFUNCTION("""COMPUTED_VALUE"""),"금속 열쇠고리")</f>
        <v>금속 열쇠고리</v>
      </c>
      <c r="C42" s="13" t="str">
        <f>IFERROR(__xludf.DUMMYFUNCTION("""COMPUTED_VALUE"""),"Metal Keychain")</f>
        <v>Metal Keychain</v>
      </c>
      <c r="D42" s="13" t="str">
        <f>IFERROR(__xludf.DUMMYFUNCTION("""COMPUTED_VALUE"""),"Artifact_Carried")</f>
        <v>Artifact_Carried</v>
      </c>
    </row>
    <row r="43">
      <c r="A43" s="13" t="str">
        <f>IFERROR(__xludf.DUMMYFUNCTION("""COMPUTED_VALUE"""),"art_doll_worn")</f>
        <v>art_doll_worn</v>
      </c>
      <c r="B43" s="13" t="str">
        <f>IFERROR(__xludf.DUMMYFUNCTION("""COMPUTED_VALUE"""),"낡은 인형")</f>
        <v>낡은 인형</v>
      </c>
      <c r="C43" s="13" t="str">
        <f>IFERROR(__xludf.DUMMYFUNCTION("""COMPUTED_VALUE"""),"Worn Doll")</f>
        <v>Worn Doll</v>
      </c>
      <c r="D43" s="13" t="str">
        <f>IFERROR(__xludf.DUMMYFUNCTION("""COMPUTED_VALUE"""),"Artifact_Carried")</f>
        <v>Artifact_Carried</v>
      </c>
    </row>
    <row r="44">
      <c r="A44" s="13" t="str">
        <f>IFERROR(__xludf.DUMMYFUNCTION("""COMPUTED_VALUE"""),"art_book_heavy")</f>
        <v>art_book_heavy</v>
      </c>
      <c r="B44" s="13" t="str">
        <f>IFERROR(__xludf.DUMMYFUNCTION("""COMPUTED_VALUE"""),"두꺼운 책")</f>
        <v>두꺼운 책</v>
      </c>
      <c r="C44" s="13" t="str">
        <f>IFERROR(__xludf.DUMMYFUNCTION("""COMPUTED_VALUE"""),"Heavy Book")</f>
        <v>Heavy Book</v>
      </c>
      <c r="D44" s="13" t="str">
        <f>IFERROR(__xludf.DUMMYFUNCTION("""COMPUTED_VALUE"""),"Artifact_Carried")</f>
        <v>Artifact_Carried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8.25"/>
  </cols>
  <sheetData>
    <row r="1">
      <c r="A1" s="1" t="s">
        <v>710</v>
      </c>
      <c r="B1" s="1" t="s">
        <v>583</v>
      </c>
      <c r="C1" s="1" t="s">
        <v>584</v>
      </c>
      <c r="D1" s="1" t="s">
        <v>582</v>
      </c>
      <c r="E1" s="1" t="s">
        <v>329</v>
      </c>
      <c r="F1" s="1" t="s">
        <v>330</v>
      </c>
      <c r="G1" s="1" t="s">
        <v>331</v>
      </c>
      <c r="H1" s="1" t="s">
        <v>210</v>
      </c>
      <c r="I1" s="1" t="s">
        <v>291</v>
      </c>
      <c r="J1" s="1" t="s">
        <v>711</v>
      </c>
      <c r="K1" s="1" t="s">
        <v>712</v>
      </c>
    </row>
    <row r="2">
      <c r="A2" s="13">
        <f t="shared" ref="A2:A102" si="1">IF($B2="","",N(A1)+1)</f>
        <v>1</v>
      </c>
      <c r="B2" s="1" t="s">
        <v>600</v>
      </c>
      <c r="C2" s="13" t="str">
        <f t="array" ref="C2">IF($B2="","",IFERROR(XLOOKUP($B2,Monster!$B:$B,Monster!$C:$C),""))</f>
        <v>Feral Dog</v>
      </c>
      <c r="D2" s="13" t="str">
        <f t="array" ref="D2">IF($B2="","",IFERROR(XLOOKUP($B2,Monster!$B:$B,Monster!$A:$A),""))</f>
        <v>monster_feral_dog</v>
      </c>
      <c r="E2" s="1" t="s">
        <v>364</v>
      </c>
      <c r="F2" s="13" t="str">
        <f t="array" ref="F2">IF($E2="","",IFERROR(XLOOKUP($E2,All_IDs!$B:$B,All_IDs!$C:$C),""))</f>
        <v>Old Rope</v>
      </c>
      <c r="G2" s="13" t="str">
        <f t="array" ref="G2">IF($E2="","",IFERROR(XLOOKUP($E2,All_IDs!$B:$B,All_IDs!$A:$A),""))</f>
        <v>item_old_rope</v>
      </c>
      <c r="H2" s="13" t="str">
        <f t="array" ref="H2">IF($E2="","",IFERROR(XLOOKUP($E2,All_IDs!$B:$B,All_IDs!$D:$D),""))</f>
        <v>Junk</v>
      </c>
      <c r="I2" s="1">
        <v>20.0</v>
      </c>
      <c r="J2" s="1">
        <v>1.0</v>
      </c>
      <c r="K2" s="1">
        <v>1.0</v>
      </c>
    </row>
    <row r="3">
      <c r="A3" s="13">
        <f t="shared" si="1"/>
        <v>2</v>
      </c>
      <c r="B3" s="1" t="s">
        <v>600</v>
      </c>
      <c r="C3" s="13" t="str">
        <f t="array" ref="C3">IF($B3="","",IFERROR(XLOOKUP($B3,Monster!$B:$B,Monster!$C:$C),""))</f>
        <v>Feral Dog</v>
      </c>
      <c r="D3" s="13" t="str">
        <f t="array" ref="D3">IF($B3="","",IFERROR(XLOOKUP($B3,Monster!$B:$B,Monster!$A:$A),""))</f>
        <v>monster_feral_dog</v>
      </c>
      <c r="E3" s="1" t="s">
        <v>377</v>
      </c>
      <c r="F3" s="13" t="str">
        <f t="array" ref="F3">IF($E3="","",IFERROR(XLOOKUP($E3,All_IDs!$B:$B,All_IDs!$C:$C),""))</f>
        <v>Smoked Jerky</v>
      </c>
      <c r="G3" s="13" t="str">
        <f t="array" ref="G3">IF($E3="","",IFERROR(XLOOKUP($E3,All_IDs!$B:$B,All_IDs!$A:$A),""))</f>
        <v>item_food_jerky</v>
      </c>
      <c r="H3" s="13" t="str">
        <f t="array" ref="H3">IF($E3="","",IFERROR(XLOOKUP($E3,All_IDs!$B:$B,All_IDs!$D:$D),""))</f>
        <v>Food</v>
      </c>
      <c r="I3" s="1">
        <v>30.0</v>
      </c>
      <c r="J3" s="1">
        <v>1.0</v>
      </c>
      <c r="K3" s="1">
        <v>1.0</v>
      </c>
    </row>
    <row r="4">
      <c r="A4" s="13">
        <f t="shared" si="1"/>
        <v>3</v>
      </c>
      <c r="B4" s="1" t="s">
        <v>600</v>
      </c>
      <c r="C4" s="13" t="str">
        <f t="array" ref="C4">IF($B4="","",IFERROR(XLOOKUP($B4,Monster!$B:$B,Monster!$C:$C),""))</f>
        <v>Feral Dog</v>
      </c>
      <c r="D4" s="13" t="str">
        <f t="array" ref="D4">IF($B4="","",IFERROR(XLOOKUP($B4,Monster!$B:$B,Monster!$A:$A),""))</f>
        <v>monster_feral_dog</v>
      </c>
      <c r="E4" s="1" t="s">
        <v>343</v>
      </c>
      <c r="F4" s="13" t="str">
        <f t="array" ref="F4">IF($E4="","",IFERROR(XLOOKUP($E4,All_IDs!$B:$B,All_IDs!$C:$C),""))</f>
        <v>Scrap Metal</v>
      </c>
      <c r="G4" s="13" t="str">
        <f t="array" ref="G4">IF($E4="","",IFERROR(XLOOKUP($E4,All_IDs!$B:$B,All_IDs!$A:$A),""))</f>
        <v>item_scrap_metal</v>
      </c>
      <c r="H4" s="13" t="str">
        <f t="array" ref="H4">IF($E4="","",IFERROR(XLOOKUP($E4,All_IDs!$B:$B,All_IDs!$D:$D),""))</f>
        <v>Junk</v>
      </c>
      <c r="I4" s="1">
        <v>10.0</v>
      </c>
      <c r="J4" s="1">
        <v>1.0</v>
      </c>
      <c r="K4" s="1">
        <v>1.0</v>
      </c>
    </row>
    <row r="5">
      <c r="A5" s="13">
        <f t="shared" si="1"/>
        <v>4</v>
      </c>
      <c r="B5" s="1" t="s">
        <v>607</v>
      </c>
      <c r="C5" s="13" t="str">
        <f t="array" ref="C5">IF($B5="","",IFERROR(XLOOKUP($B5,Monster!$B:$B,Monster!$C:$C),""))</f>
        <v>Starving Scavenger</v>
      </c>
      <c r="D5" s="13" t="str">
        <f t="array" ref="D5">IF($B5="","",IFERROR(XLOOKUP($B5,Monster!$B:$B,Monster!$A:$A),""))</f>
        <v>monster_scavenger</v>
      </c>
      <c r="E5" s="1" t="s">
        <v>337</v>
      </c>
      <c r="F5" s="13" t="str">
        <f t="array" ref="F5">IF($E5="","",IFERROR(XLOOKUP($E5,All_IDs!$B:$B,All_IDs!$C:$C),""))</f>
        <v>Hemostatic Syringe</v>
      </c>
      <c r="G5" s="13" t="str">
        <f t="array" ref="G5">IF($E5="","",IFERROR(XLOOKUP($E5,All_IDs!$B:$B,All_IDs!$A:$A),""))</f>
        <v>item_med_syringe</v>
      </c>
      <c r="H5" s="13" t="str">
        <f t="array" ref="H5">IF($E5="","",IFERROR(XLOOKUP($E5,All_IDs!$B:$B,All_IDs!$D:$D),""))</f>
        <v>Medicine</v>
      </c>
      <c r="I5" s="1">
        <v>5.0</v>
      </c>
      <c r="J5" s="1">
        <v>1.0</v>
      </c>
      <c r="K5" s="1">
        <v>1.0</v>
      </c>
    </row>
    <row r="6">
      <c r="A6" s="13">
        <f t="shared" si="1"/>
        <v>5</v>
      </c>
      <c r="B6" s="1" t="s">
        <v>607</v>
      </c>
      <c r="C6" s="13" t="str">
        <f t="array" ref="C6">IF($B6="","",IFERROR(XLOOKUP($B6,Monster!$B:$B,Monster!$C:$C),""))</f>
        <v>Starving Scavenger</v>
      </c>
      <c r="D6" s="13" t="str">
        <f t="array" ref="D6">IF($B6="","",IFERROR(XLOOKUP($B6,Monster!$B:$B,Monster!$A:$A),""))</f>
        <v>monster_scavenger</v>
      </c>
      <c r="E6" s="1" t="s">
        <v>335</v>
      </c>
      <c r="F6" s="13" t="str">
        <f t="array" ref="F6">IF($E6="","",IFERROR(XLOOKUP($E6,All_IDs!$B:$B,All_IDs!$C:$C),""))</f>
        <v>Bandage</v>
      </c>
      <c r="G6" s="13" t="str">
        <f t="array" ref="G6">IF($E6="","",IFERROR(XLOOKUP($E6,All_IDs!$B:$B,All_IDs!$A:$A),""))</f>
        <v>item_med_bandage</v>
      </c>
      <c r="H6" s="13" t="str">
        <f t="array" ref="H6">IF($E6="","",IFERROR(XLOOKUP($E6,All_IDs!$B:$B,All_IDs!$D:$D),""))</f>
        <v>Medicine</v>
      </c>
      <c r="I6" s="1">
        <v>5.0</v>
      </c>
      <c r="J6" s="1">
        <v>1.0</v>
      </c>
      <c r="K6" s="1">
        <v>1.0</v>
      </c>
    </row>
    <row r="7">
      <c r="A7" s="13">
        <f t="shared" si="1"/>
        <v>6</v>
      </c>
      <c r="B7" s="1" t="s">
        <v>607</v>
      </c>
      <c r="C7" s="13" t="str">
        <f t="array" ref="C7">IF($B7="","",IFERROR(XLOOKUP($B7,Monster!$B:$B,Monster!$C:$C),""))</f>
        <v>Starving Scavenger</v>
      </c>
      <c r="D7" s="13" t="str">
        <f t="array" ref="D7">IF($B7="","",IFERROR(XLOOKUP($B7,Monster!$B:$B,Monster!$A:$A),""))</f>
        <v>monster_scavenger</v>
      </c>
      <c r="E7" s="1" t="s">
        <v>343</v>
      </c>
      <c r="F7" s="13" t="str">
        <f t="array" ref="F7">IF($E7="","",IFERROR(XLOOKUP($E7,All_IDs!$B:$B,All_IDs!$C:$C),""))</f>
        <v>Scrap Metal</v>
      </c>
      <c r="G7" s="13" t="str">
        <f t="array" ref="G7">IF($E7="","",IFERROR(XLOOKUP($E7,All_IDs!$B:$B,All_IDs!$A:$A),""))</f>
        <v>item_scrap_metal</v>
      </c>
      <c r="H7" s="13" t="str">
        <f t="array" ref="H7">IF($E7="","",IFERROR(XLOOKUP($E7,All_IDs!$B:$B,All_IDs!$D:$D),""))</f>
        <v>Junk</v>
      </c>
      <c r="I7" s="1">
        <v>18.0</v>
      </c>
      <c r="J7" s="1">
        <v>1.0</v>
      </c>
      <c r="K7" s="1">
        <v>1.0</v>
      </c>
    </row>
    <row r="8">
      <c r="A8" s="13">
        <f t="shared" si="1"/>
        <v>7</v>
      </c>
      <c r="B8" s="1" t="s">
        <v>613</v>
      </c>
      <c r="C8" s="13" t="str">
        <f t="array" ref="C8">IF($B8="","",IFERROR(XLOOKUP($B8,Monster!$B:$B,Monster!$C:$C),""))</f>
        <v>Warden of Haram</v>
      </c>
      <c r="D8" s="13" t="str">
        <f t="array" ref="D8">IF($B8="","",IFERROR(XLOOKUP($B8,Monster!$B:$B,Monster!$A:$A),""))</f>
        <v>monster_haram_warden</v>
      </c>
      <c r="E8" s="1" t="s">
        <v>369</v>
      </c>
      <c r="F8" s="13" t="str">
        <f t="array" ref="F8">IF($E8="","",IFERROR(XLOOKUP($E8,All_IDs!$B:$B,All_IDs!$C:$C),""))</f>
        <v>Handful of Coffee Beans</v>
      </c>
      <c r="G8" s="13" t="str">
        <f t="array" ref="G8">IF($E8="","",IFERROR(XLOOKUP($E8,All_IDs!$B:$B,All_IDs!$A:$A),""))</f>
        <v>item_food_coffee</v>
      </c>
      <c r="H8" s="13" t="str">
        <f t="array" ref="H8">IF($E8="","",IFERROR(XLOOKUP($E8,All_IDs!$B:$B,All_IDs!$D:$D),""))</f>
        <v>Food</v>
      </c>
      <c r="I8" s="1">
        <v>30.0</v>
      </c>
      <c r="J8" s="1">
        <v>1.0</v>
      </c>
      <c r="K8" s="1">
        <v>1.0</v>
      </c>
    </row>
    <row r="9">
      <c r="A9" s="13">
        <f t="shared" si="1"/>
        <v>8</v>
      </c>
      <c r="B9" s="1" t="s">
        <v>613</v>
      </c>
      <c r="C9" s="13" t="str">
        <f t="array" ref="C9">IF($B9="","",IFERROR(XLOOKUP($B9,Monster!$B:$B,Monster!$C:$C),""))</f>
        <v>Warden of Haram</v>
      </c>
      <c r="D9" s="13" t="str">
        <f t="array" ref="D9">IF($B9="","",IFERROR(XLOOKUP($B9,Monster!$B:$B,Monster!$A:$A),""))</f>
        <v>monster_haram_warden</v>
      </c>
      <c r="E9" s="1" t="s">
        <v>350</v>
      </c>
      <c r="F9" s="13" t="str">
        <f t="array" ref="F9">IF($E9="","",IFERROR(XLOOKUP($E9,All_IDs!$B:$B,All_IDs!$C:$C),""))</f>
        <v>Electronic Parts</v>
      </c>
      <c r="G9" s="13" t="str">
        <f t="array" ref="G9">IF($E9="","",IFERROR(XLOOKUP($E9,All_IDs!$B:$B,All_IDs!$A:$A),""))</f>
        <v>item_electronic_parts</v>
      </c>
      <c r="H9" s="13" t="str">
        <f t="array" ref="H9">IF($E9="","",IFERROR(XLOOKUP($E9,All_IDs!$B:$B,All_IDs!$D:$D),""))</f>
        <v>Junk</v>
      </c>
      <c r="I9" s="1">
        <v>25.0</v>
      </c>
      <c r="J9" s="1">
        <v>1.0</v>
      </c>
      <c r="K9" s="1">
        <v>1.0</v>
      </c>
    </row>
    <row r="10">
      <c r="A10" s="13">
        <f t="shared" si="1"/>
        <v>9</v>
      </c>
      <c r="B10" s="1" t="s">
        <v>613</v>
      </c>
      <c r="C10" s="13" t="str">
        <f t="array" ref="C10">IF($B10="","",IFERROR(XLOOKUP($B10,Monster!$B:$B,Monster!$C:$C),""))</f>
        <v>Warden of Haram</v>
      </c>
      <c r="D10" s="13" t="str">
        <f t="array" ref="D10">IF($B10="","",IFERROR(XLOOKUP($B10,Monster!$B:$B,Monster!$A:$A),""))</f>
        <v>monster_haram_warden</v>
      </c>
      <c r="E10" s="1" t="s">
        <v>343</v>
      </c>
      <c r="F10" s="13" t="str">
        <f t="array" ref="F10">IF($E10="","",IFERROR(XLOOKUP($E10,All_IDs!$B:$B,All_IDs!$C:$C),""))</f>
        <v>Scrap Metal</v>
      </c>
      <c r="G10" s="13" t="str">
        <f t="array" ref="G10">IF($E10="","",IFERROR(XLOOKUP($E10,All_IDs!$B:$B,All_IDs!$A:$A),""))</f>
        <v>item_scrap_metal</v>
      </c>
      <c r="H10" s="13" t="str">
        <f t="array" ref="H10">IF($E10="","",IFERROR(XLOOKUP($E10,All_IDs!$B:$B,All_IDs!$D:$D),""))</f>
        <v>Junk</v>
      </c>
      <c r="I10" s="1">
        <v>15.0</v>
      </c>
      <c r="J10" s="1">
        <v>1.0</v>
      </c>
      <c r="K10" s="1">
        <v>1.0</v>
      </c>
    </row>
    <row r="11">
      <c r="A11" s="13">
        <f t="shared" si="1"/>
        <v>10</v>
      </c>
      <c r="B11" s="1" t="s">
        <v>649</v>
      </c>
      <c r="C11" s="13" t="str">
        <f t="array" ref="C11">IF($B11="","",IFERROR(XLOOKUP($B11,Monster!$B:$B,Monster!$C:$C),""))</f>
        <v>Alley Thug</v>
      </c>
      <c r="D11" s="13" t="str">
        <f t="array" ref="D11">IF($B11="","",IFERROR(XLOOKUP($B11,Monster!$B:$B,Monster!$A:$A),""))</f>
        <v>monster_rogue_alley</v>
      </c>
      <c r="E11" s="1" t="s">
        <v>667</v>
      </c>
      <c r="F11" s="13" t="str">
        <f t="array" ref="F11">IF($E11="","",IFERROR(XLOOKUP($E11,All_IDs!$B:$B,All_IDs!$C:$C),""))</f>
        <v>Wooden Sword</v>
      </c>
      <c r="G11" s="13" t="str">
        <f t="array" ref="G11">IF($E11="","",IFERROR(XLOOKUP($E11,All_IDs!$B:$B,All_IDs!$A:$A),""))</f>
        <v>weapon_wooden_sword</v>
      </c>
      <c r="H11" s="13" t="str">
        <f t="array" ref="H11">IF($E11="","",IFERROR(XLOOKUP($E11,All_IDs!$B:$B,All_IDs!$D:$D),""))</f>
        <v>Weapon</v>
      </c>
      <c r="I11" s="1">
        <v>30.0</v>
      </c>
      <c r="J11" s="1">
        <v>1.0</v>
      </c>
      <c r="K11" s="1">
        <v>1.0</v>
      </c>
    </row>
    <row r="12">
      <c r="A12" s="13">
        <f t="shared" si="1"/>
        <v>11</v>
      </c>
      <c r="B12" s="1" t="s">
        <v>649</v>
      </c>
      <c r="C12" s="13" t="str">
        <f t="array" ref="C12">IF($B12="","",IFERROR(XLOOKUP($B12,Monster!$B:$B,Monster!$C:$C),""))</f>
        <v>Alley Thug</v>
      </c>
      <c r="D12" s="13" t="str">
        <f t="array" ref="D12">IF($B12="","",IFERROR(XLOOKUP($B12,Monster!$B:$B,Monster!$A:$A),""))</f>
        <v>monster_rogue_alley</v>
      </c>
      <c r="E12" s="1" t="s">
        <v>335</v>
      </c>
      <c r="F12" s="13" t="str">
        <f t="array" ref="F12">IF($E12="","",IFERROR(XLOOKUP($E12,All_IDs!$B:$B,All_IDs!$C:$C),""))</f>
        <v>Bandage</v>
      </c>
      <c r="G12" s="13" t="str">
        <f t="array" ref="G12">IF($E12="","",IFERROR(XLOOKUP($E12,All_IDs!$B:$B,All_IDs!$A:$A),""))</f>
        <v>item_med_bandage</v>
      </c>
      <c r="H12" s="13" t="str">
        <f t="array" ref="H12">IF($E12="","",IFERROR(XLOOKUP($E12,All_IDs!$B:$B,All_IDs!$D:$D),""))</f>
        <v>Medicine</v>
      </c>
      <c r="I12" s="1">
        <v>40.0</v>
      </c>
      <c r="J12" s="1">
        <v>1.0</v>
      </c>
      <c r="K12" s="1">
        <v>1.0</v>
      </c>
    </row>
    <row r="13">
      <c r="A13" s="13">
        <f t="shared" si="1"/>
        <v>12</v>
      </c>
      <c r="B13" s="1" t="s">
        <v>649</v>
      </c>
      <c r="C13" s="13" t="str">
        <f t="array" ref="C13">IF($B13="","",IFERROR(XLOOKUP($B13,Monster!$B:$B,Monster!$C:$C),""))</f>
        <v>Alley Thug</v>
      </c>
      <c r="D13" s="13" t="str">
        <f t="array" ref="D13">IF($B13="","",IFERROR(XLOOKUP($B13,Monster!$B:$B,Monster!$A:$A),""))</f>
        <v>monster_rogue_alley</v>
      </c>
      <c r="E13" s="1" t="s">
        <v>350</v>
      </c>
      <c r="F13" s="13" t="str">
        <f t="array" ref="F13">IF($E13="","",IFERROR(XLOOKUP($E13,All_IDs!$B:$B,All_IDs!$C:$C),""))</f>
        <v>Electronic Parts</v>
      </c>
      <c r="H13" s="13" t="str">
        <f t="array" ref="H13">IF($E13="","",IFERROR(XLOOKUP($E13,All_IDs!$B:$B,All_IDs!$D:$D),""))</f>
        <v>Junk</v>
      </c>
      <c r="I13" s="1">
        <v>20.0</v>
      </c>
      <c r="J13" s="1">
        <v>1.0</v>
      </c>
      <c r="K13" s="1">
        <v>1.0</v>
      </c>
    </row>
    <row r="14">
      <c r="A14" s="13" t="str">
        <f t="shared" si="1"/>
        <v/>
      </c>
      <c r="B14" s="13"/>
      <c r="C14" s="13" t="str">
        <f t="array" ref="C14">IF($B14="","",IFERROR(XLOOKUP($B14,Monster!$B:$B,Monster!$C:$C),""))</f>
        <v/>
      </c>
      <c r="D14" s="13" t="str">
        <f t="array" ref="D14">IF($B14="","",IFERROR(XLOOKUP($B14,Monster!$B:$B,Monster!$A:$A),""))</f>
        <v/>
      </c>
      <c r="E14" s="13"/>
      <c r="F14" s="13" t="str">
        <f t="array" ref="F14">IF($E14="","",IFERROR(XLOOKUP($E14,All_IDs!$B:$B,All_IDs!$C:$C),""))</f>
        <v/>
      </c>
      <c r="G14" s="13" t="str">
        <f t="array" ref="G14">IF($E14="","",IFERROR(XLOOKUP($E14,All_IDs!$B:$B,All_IDs!$A:$A),""))</f>
        <v/>
      </c>
      <c r="H14" s="13" t="str">
        <f t="array" ref="H14">IF($E14="","",IFERROR(XLOOKUP($E14,All_IDs!$B:$B,All_IDs!$D:$D),""))</f>
        <v/>
      </c>
    </row>
    <row r="15">
      <c r="A15" s="13" t="str">
        <f t="shared" si="1"/>
        <v/>
      </c>
      <c r="B15" s="13"/>
      <c r="C15" s="13" t="str">
        <f t="array" ref="C15">IF($B15="","",IFERROR(XLOOKUP($B15,Monster!$B:$B,Monster!$C:$C),""))</f>
        <v/>
      </c>
      <c r="D15" s="13" t="str">
        <f t="array" ref="D15">IF($B15="","",IFERROR(XLOOKUP($B15,Monster!$B:$B,Monster!$A:$A),""))</f>
        <v/>
      </c>
      <c r="E15" s="13"/>
      <c r="F15" s="13" t="str">
        <f t="array" ref="F15">IF($E15="","",IFERROR(XLOOKUP($E15,All_IDs!$B:$B,All_IDs!$C:$C),""))</f>
        <v/>
      </c>
      <c r="G15" s="13" t="str">
        <f t="array" ref="G15">IF($E15="","",IFERROR(XLOOKUP($E15,All_IDs!$B:$B,All_IDs!$A:$A),""))</f>
        <v/>
      </c>
      <c r="H15" s="13" t="str">
        <f t="array" ref="H15">IF($E15="","",IFERROR(XLOOKUP($E15,All_IDs!$B:$B,All_IDs!$D:$D),""))</f>
        <v/>
      </c>
    </row>
    <row r="16">
      <c r="A16" s="13" t="str">
        <f t="shared" si="1"/>
        <v/>
      </c>
      <c r="B16" s="13"/>
      <c r="C16" s="13" t="str">
        <f t="array" ref="C16">IF($B16="","",IFERROR(XLOOKUP($B16,Monster!$B:$B,Monster!$C:$C),""))</f>
        <v/>
      </c>
      <c r="D16" s="13" t="str">
        <f t="array" ref="D16">IF($B16="","",IFERROR(XLOOKUP($B16,Monster!$B:$B,Monster!$A:$A),""))</f>
        <v/>
      </c>
      <c r="E16" s="13"/>
      <c r="F16" s="13" t="str">
        <f t="array" ref="F16">IF($E16="","",IFERROR(XLOOKUP($E16,All_IDs!$B:$B,All_IDs!$C:$C),""))</f>
        <v/>
      </c>
      <c r="G16" s="13" t="str">
        <f t="array" ref="G16">IF($E16="","",IFERROR(XLOOKUP($E16,All_IDs!$B:$B,All_IDs!$A:$A),""))</f>
        <v/>
      </c>
      <c r="H16" s="13" t="str">
        <f t="array" ref="H16">IF($E16="","",IFERROR(XLOOKUP($E16,All_IDs!$B:$B,All_IDs!$D:$D),""))</f>
        <v/>
      </c>
    </row>
    <row r="17">
      <c r="A17" s="13" t="str">
        <f t="shared" si="1"/>
        <v/>
      </c>
      <c r="B17" s="13"/>
      <c r="C17" s="13" t="str">
        <f t="array" ref="C17">IF($B17="","",IFERROR(XLOOKUP($B17,Monster!$B:$B,Monster!$C:$C),""))</f>
        <v/>
      </c>
      <c r="D17" s="13" t="str">
        <f t="array" ref="D17">IF($B17="","",IFERROR(XLOOKUP($B17,Monster!$B:$B,Monster!$A:$A),""))</f>
        <v/>
      </c>
      <c r="E17" s="13"/>
      <c r="F17" s="13" t="str">
        <f t="array" ref="F17">IF($E17="","",IFERROR(XLOOKUP($E17,All_IDs!$B:$B,All_IDs!$C:$C),""))</f>
        <v/>
      </c>
      <c r="G17" s="13" t="str">
        <f t="array" ref="G17">IF($E17="","",IFERROR(XLOOKUP($E17,All_IDs!$B:$B,All_IDs!$A:$A),""))</f>
        <v/>
      </c>
      <c r="H17" s="13" t="str">
        <f t="array" ref="H17">IF($E17="","",IFERROR(XLOOKUP($E17,All_IDs!$B:$B,All_IDs!$D:$D),""))</f>
        <v/>
      </c>
    </row>
    <row r="18">
      <c r="A18" s="13" t="str">
        <f t="shared" si="1"/>
        <v/>
      </c>
      <c r="B18" s="13"/>
      <c r="C18" s="13" t="str">
        <f t="array" ref="C18">IF($B18="","",IFERROR(XLOOKUP($B18,Monster!$B:$B,Monster!$C:$C),""))</f>
        <v/>
      </c>
      <c r="D18" s="13" t="str">
        <f t="array" ref="D18">IF($B18="","",IFERROR(XLOOKUP($B18,Monster!$B:$B,Monster!$A:$A),""))</f>
        <v/>
      </c>
      <c r="E18" s="13"/>
      <c r="F18" s="13" t="str">
        <f t="array" ref="F18">IF($E18="","",IFERROR(XLOOKUP($E18,All_IDs!$B:$B,All_IDs!$C:$C),""))</f>
        <v/>
      </c>
      <c r="G18" s="13" t="str">
        <f t="array" ref="G18">IF($E18="","",IFERROR(XLOOKUP($E18,All_IDs!$B:$B,All_IDs!$A:$A),""))</f>
        <v/>
      </c>
      <c r="H18" s="13" t="str">
        <f t="array" ref="H18">IF($E18="","",IFERROR(XLOOKUP($E18,All_IDs!$B:$B,All_IDs!$D:$D),""))</f>
        <v/>
      </c>
    </row>
    <row r="19">
      <c r="A19" s="13" t="str">
        <f t="shared" si="1"/>
        <v/>
      </c>
      <c r="B19" s="13"/>
      <c r="C19" s="13" t="str">
        <f t="array" ref="C19">IF($B19="","",IFERROR(XLOOKUP($B19,Monster!$B:$B,Monster!$C:$C),""))</f>
        <v/>
      </c>
      <c r="D19" s="13" t="str">
        <f t="array" ref="D19">IF($B19="","",IFERROR(XLOOKUP($B19,Monster!$B:$B,Monster!$A:$A),""))</f>
        <v/>
      </c>
      <c r="E19" s="13"/>
      <c r="F19" s="13" t="str">
        <f t="array" ref="F19">IF($E19="","",IFERROR(XLOOKUP($E19,All_IDs!$B:$B,All_IDs!$C:$C),""))</f>
        <v/>
      </c>
      <c r="G19" s="13" t="str">
        <f t="array" ref="G19">IF($E19="","",IFERROR(XLOOKUP($E19,All_IDs!$B:$B,All_IDs!$A:$A),""))</f>
        <v/>
      </c>
      <c r="H19" s="13" t="str">
        <f t="array" ref="H19">IF($E19="","",IFERROR(XLOOKUP($E19,All_IDs!$B:$B,All_IDs!$D:$D),""))</f>
        <v/>
      </c>
    </row>
    <row r="20">
      <c r="A20" s="13" t="str">
        <f t="shared" si="1"/>
        <v/>
      </c>
      <c r="B20" s="13"/>
      <c r="C20" s="13" t="str">
        <f t="array" ref="C20">IF($B20="","",IFERROR(XLOOKUP($B20,Monster!$B:$B,Monster!$C:$C),""))</f>
        <v/>
      </c>
      <c r="D20" s="13" t="str">
        <f t="array" ref="D20">IF($B20="","",IFERROR(XLOOKUP($B20,Monster!$B:$B,Monster!$A:$A),""))</f>
        <v/>
      </c>
      <c r="E20" s="13"/>
      <c r="F20" s="13" t="str">
        <f t="array" ref="F20">IF($E20="","",IFERROR(XLOOKUP($E20,All_IDs!$B:$B,All_IDs!$C:$C),""))</f>
        <v/>
      </c>
      <c r="G20" s="13" t="str">
        <f t="array" ref="G20">IF($E20="","",IFERROR(XLOOKUP($E20,All_IDs!$B:$B,All_IDs!$A:$A),""))</f>
        <v/>
      </c>
      <c r="H20" s="13" t="str">
        <f t="array" ref="H20">IF($E20="","",IFERROR(XLOOKUP($E20,All_IDs!$B:$B,All_IDs!$D:$D),""))</f>
        <v/>
      </c>
    </row>
    <row r="21">
      <c r="A21" s="13" t="str">
        <f t="shared" si="1"/>
        <v/>
      </c>
      <c r="B21" s="13"/>
      <c r="C21" s="13" t="str">
        <f t="array" ref="C21">IF($B21="","",IFERROR(XLOOKUP($B21,Monster!$B:$B,Monster!$C:$C),""))</f>
        <v/>
      </c>
      <c r="D21" s="13" t="str">
        <f t="array" ref="D21">IF($B21="","",IFERROR(XLOOKUP($B21,Monster!$B:$B,Monster!$A:$A),""))</f>
        <v/>
      </c>
      <c r="E21" s="13"/>
      <c r="F21" s="13" t="str">
        <f t="array" ref="F21">IF($E21="","",IFERROR(XLOOKUP($E21,All_IDs!$B:$B,All_IDs!$C:$C),""))</f>
        <v/>
      </c>
      <c r="G21" s="13" t="str">
        <f t="array" ref="G21">IF($E21="","",IFERROR(XLOOKUP($E21,All_IDs!$B:$B,All_IDs!$A:$A),""))</f>
        <v/>
      </c>
      <c r="H21" s="13" t="str">
        <f t="array" ref="H21">IF($E21="","",IFERROR(XLOOKUP($E21,All_IDs!$B:$B,All_IDs!$D:$D),""))</f>
        <v/>
      </c>
    </row>
    <row r="22">
      <c r="A22" s="13" t="str">
        <f t="shared" si="1"/>
        <v/>
      </c>
      <c r="B22" s="13"/>
      <c r="C22" s="13" t="str">
        <f t="array" ref="C22">IF($B22="","",IFERROR(XLOOKUP($B22,Monster!$B:$B,Monster!$C:$C),""))</f>
        <v/>
      </c>
      <c r="D22" s="13" t="str">
        <f t="array" ref="D22">IF($B22="","",IFERROR(XLOOKUP($B22,Monster!$B:$B,Monster!$A:$A),""))</f>
        <v/>
      </c>
      <c r="E22" s="13"/>
      <c r="F22" s="13" t="str">
        <f t="array" ref="F22">IF($E22="","",IFERROR(XLOOKUP($E22,All_IDs!$B:$B,All_IDs!$C:$C),""))</f>
        <v/>
      </c>
      <c r="G22" s="13" t="str">
        <f t="array" ref="G22">IF($E22="","",IFERROR(XLOOKUP($E22,All_IDs!$B:$B,All_IDs!$A:$A),""))</f>
        <v/>
      </c>
      <c r="H22" s="13" t="str">
        <f t="array" ref="H22">IF($E22="","",IFERROR(XLOOKUP($E22,All_IDs!$B:$B,All_IDs!$D:$D),""))</f>
        <v/>
      </c>
    </row>
    <row r="23">
      <c r="A23" s="13" t="str">
        <f t="shared" si="1"/>
        <v/>
      </c>
      <c r="B23" s="13"/>
      <c r="C23" s="13" t="str">
        <f t="array" ref="C23">IF($B23="","",IFERROR(XLOOKUP($B23,Monster!$B:$B,Monster!$C:$C),""))</f>
        <v/>
      </c>
      <c r="D23" s="13" t="str">
        <f t="array" ref="D23">IF($B23="","",IFERROR(XLOOKUP($B23,Monster!$B:$B,Monster!$A:$A),""))</f>
        <v/>
      </c>
      <c r="E23" s="13"/>
      <c r="F23" s="13" t="str">
        <f t="array" ref="F23">IF($E23="","",IFERROR(XLOOKUP($E23,All_IDs!$B:$B,All_IDs!$C:$C),""))</f>
        <v/>
      </c>
      <c r="G23" s="13" t="str">
        <f t="array" ref="G23">IF($E23="","",IFERROR(XLOOKUP($E23,All_IDs!$B:$B,All_IDs!$A:$A),""))</f>
        <v/>
      </c>
      <c r="H23" s="13" t="str">
        <f t="array" ref="H23">IF($E23="","",IFERROR(XLOOKUP($E23,All_IDs!$B:$B,All_IDs!$D:$D),""))</f>
        <v/>
      </c>
    </row>
    <row r="24">
      <c r="A24" s="13" t="str">
        <f t="shared" si="1"/>
        <v/>
      </c>
      <c r="B24" s="13"/>
      <c r="C24" s="13" t="str">
        <f t="array" ref="C24">IF($B24="","",IFERROR(XLOOKUP($B24,Monster!$B:$B,Monster!$C:$C),""))</f>
        <v/>
      </c>
      <c r="D24" s="13" t="str">
        <f t="array" ref="D24">IF($B24="","",IFERROR(XLOOKUP($B24,Monster!$B:$B,Monster!$A:$A),""))</f>
        <v/>
      </c>
      <c r="E24" s="13"/>
      <c r="F24" s="13" t="str">
        <f t="array" ref="F24">IF($E24="","",IFERROR(XLOOKUP($E24,All_IDs!$B:$B,All_IDs!$C:$C),""))</f>
        <v/>
      </c>
      <c r="G24" s="13" t="str">
        <f t="array" ref="G24">IF($E24="","",IFERROR(XLOOKUP($E24,All_IDs!$B:$B,All_IDs!$A:$A),""))</f>
        <v/>
      </c>
      <c r="H24" s="13" t="str">
        <f t="array" ref="H24">IF($E24="","",IFERROR(XLOOKUP($E24,All_IDs!$B:$B,All_IDs!$D:$D),""))</f>
        <v/>
      </c>
    </row>
    <row r="25">
      <c r="A25" s="13" t="str">
        <f t="shared" si="1"/>
        <v/>
      </c>
      <c r="B25" s="13"/>
      <c r="C25" s="13" t="str">
        <f t="array" ref="C25">IF($B25="","",IFERROR(XLOOKUP($B25,Monster!$B:$B,Monster!$C:$C),""))</f>
        <v/>
      </c>
      <c r="D25" s="13" t="str">
        <f t="array" ref="D25">IF($B25="","",IFERROR(XLOOKUP($B25,Monster!$B:$B,Monster!$A:$A),""))</f>
        <v/>
      </c>
      <c r="E25" s="13"/>
      <c r="F25" s="13" t="str">
        <f t="array" ref="F25">IF($E25="","",IFERROR(XLOOKUP($E25,All_IDs!$B:$B,All_IDs!$C:$C),""))</f>
        <v/>
      </c>
      <c r="G25" s="13" t="str">
        <f t="array" ref="G25">IF($E25="","",IFERROR(XLOOKUP($E25,All_IDs!$B:$B,All_IDs!$A:$A),""))</f>
        <v/>
      </c>
      <c r="H25" s="13" t="str">
        <f t="array" ref="H25">IF($E25="","",IFERROR(XLOOKUP($E25,All_IDs!$B:$B,All_IDs!$D:$D),""))</f>
        <v/>
      </c>
    </row>
    <row r="26">
      <c r="A26" s="13" t="str">
        <f t="shared" si="1"/>
        <v/>
      </c>
      <c r="B26" s="13"/>
      <c r="C26" s="13" t="str">
        <f t="array" ref="C26">IF($B26="","",IFERROR(XLOOKUP($B26,Monster!$B:$B,Monster!$C:$C),""))</f>
        <v/>
      </c>
      <c r="D26" s="13" t="str">
        <f t="array" ref="D26">IF($B26="","",IFERROR(XLOOKUP($B26,Monster!$B:$B,Monster!$A:$A),""))</f>
        <v/>
      </c>
      <c r="E26" s="13"/>
      <c r="F26" s="13" t="str">
        <f t="array" ref="F26">IF($E26="","",IFERROR(XLOOKUP($E26,All_IDs!$B:$B,All_IDs!$C:$C),""))</f>
        <v/>
      </c>
      <c r="G26" s="13" t="str">
        <f t="array" ref="G26">IF($E26="","",IFERROR(XLOOKUP($E26,All_IDs!$B:$B,All_IDs!$A:$A),""))</f>
        <v/>
      </c>
      <c r="H26" s="13" t="str">
        <f t="array" ref="H26">IF($E26="","",IFERROR(XLOOKUP($E26,All_IDs!$B:$B,All_IDs!$D:$D),""))</f>
        <v/>
      </c>
    </row>
    <row r="27">
      <c r="A27" s="13" t="str">
        <f t="shared" si="1"/>
        <v/>
      </c>
      <c r="B27" s="13"/>
      <c r="C27" s="13" t="str">
        <f t="array" ref="C27">IF($B27="","",IFERROR(XLOOKUP($B27,Monster!$B:$B,Monster!$C:$C),""))</f>
        <v/>
      </c>
      <c r="D27" s="13" t="str">
        <f t="array" ref="D27">IF($B27="","",IFERROR(XLOOKUP($B27,Monster!$B:$B,Monster!$A:$A),""))</f>
        <v/>
      </c>
      <c r="E27" s="13"/>
      <c r="F27" s="13" t="str">
        <f t="array" ref="F27">IF($E27="","",IFERROR(XLOOKUP($E27,All_IDs!$B:$B,All_IDs!$C:$C),""))</f>
        <v/>
      </c>
      <c r="G27" s="13" t="str">
        <f t="array" ref="G27">IF($E27="","",IFERROR(XLOOKUP($E27,All_IDs!$B:$B,All_IDs!$A:$A),""))</f>
        <v/>
      </c>
      <c r="H27" s="13" t="str">
        <f t="array" ref="H27">IF($E27="","",IFERROR(XLOOKUP($E27,All_IDs!$B:$B,All_IDs!$D:$D),""))</f>
        <v/>
      </c>
    </row>
    <row r="28">
      <c r="A28" s="13" t="str">
        <f t="shared" si="1"/>
        <v/>
      </c>
      <c r="B28" s="13"/>
      <c r="C28" s="13" t="str">
        <f t="array" ref="C28">IF($B28="","",IFERROR(XLOOKUP($B28,Monster!$B:$B,Monster!$C:$C),""))</f>
        <v/>
      </c>
      <c r="D28" s="13" t="str">
        <f t="array" ref="D28">IF($B28="","",IFERROR(XLOOKUP($B28,Monster!$B:$B,Monster!$A:$A),""))</f>
        <v/>
      </c>
      <c r="E28" s="13"/>
      <c r="F28" s="13" t="str">
        <f t="array" ref="F28">IF($E28="","",IFERROR(XLOOKUP($E28,All_IDs!$B:$B,All_IDs!$C:$C),""))</f>
        <v/>
      </c>
      <c r="G28" s="13" t="str">
        <f t="array" ref="G28">IF($E28="","",IFERROR(XLOOKUP($E28,All_IDs!$B:$B,All_IDs!$A:$A),""))</f>
        <v/>
      </c>
      <c r="H28" s="13" t="str">
        <f t="array" ref="H28">IF($E28="","",IFERROR(XLOOKUP($E28,All_IDs!$B:$B,All_IDs!$D:$D),""))</f>
        <v/>
      </c>
    </row>
    <row r="29">
      <c r="A29" s="13" t="str">
        <f t="shared" si="1"/>
        <v/>
      </c>
      <c r="B29" s="13"/>
      <c r="C29" s="13" t="str">
        <f t="array" ref="C29">IF($B29="","",IFERROR(XLOOKUP($B29,Monster!$B:$B,Monster!$C:$C),""))</f>
        <v/>
      </c>
      <c r="D29" s="13" t="str">
        <f t="array" ref="D29">IF($B29="","",IFERROR(XLOOKUP($B29,Monster!$B:$B,Monster!$A:$A),""))</f>
        <v/>
      </c>
      <c r="E29" s="13"/>
      <c r="F29" s="13" t="str">
        <f t="array" ref="F29">IF($E29="","",IFERROR(XLOOKUP($E29,All_IDs!$B:$B,All_IDs!$C:$C),""))</f>
        <v/>
      </c>
      <c r="G29" s="13" t="str">
        <f t="array" ref="G29">IF($E29="","",IFERROR(XLOOKUP($E29,All_IDs!$B:$B,All_IDs!$A:$A),""))</f>
        <v/>
      </c>
      <c r="H29" s="13" t="str">
        <f t="array" ref="H29">IF($E29="","",IFERROR(XLOOKUP($E29,All_IDs!$B:$B,All_IDs!$D:$D),""))</f>
        <v/>
      </c>
    </row>
    <row r="30">
      <c r="A30" s="13" t="str">
        <f t="shared" si="1"/>
        <v/>
      </c>
      <c r="B30" s="13"/>
      <c r="C30" s="13" t="str">
        <f t="array" ref="C30">IF($B30="","",IFERROR(XLOOKUP($B30,Monster!$B:$B,Monster!$C:$C),""))</f>
        <v/>
      </c>
      <c r="D30" s="13" t="str">
        <f t="array" ref="D30">IF($B30="","",IFERROR(XLOOKUP($B30,Monster!$B:$B,Monster!$A:$A),""))</f>
        <v/>
      </c>
      <c r="E30" s="13"/>
      <c r="F30" s="13" t="str">
        <f t="array" ref="F30">IF($E30="","",IFERROR(XLOOKUP($E30,All_IDs!$B:$B,All_IDs!$C:$C),""))</f>
        <v/>
      </c>
      <c r="G30" s="13" t="str">
        <f t="array" ref="G30">IF($E30="","",IFERROR(XLOOKUP($E30,All_IDs!$B:$B,All_IDs!$A:$A),""))</f>
        <v/>
      </c>
      <c r="H30" s="13" t="str">
        <f t="array" ref="H30">IF($E30="","",IFERROR(XLOOKUP($E30,All_IDs!$B:$B,All_IDs!$D:$D),""))</f>
        <v/>
      </c>
    </row>
    <row r="31">
      <c r="A31" s="13" t="str">
        <f t="shared" si="1"/>
        <v/>
      </c>
      <c r="B31" s="13"/>
      <c r="C31" s="13" t="str">
        <f t="array" ref="C31">IF($B31="","",IFERROR(XLOOKUP($B31,Monster!$B:$B,Monster!$C:$C),""))</f>
        <v/>
      </c>
      <c r="D31" s="13" t="str">
        <f t="array" ref="D31">IF($B31="","",IFERROR(XLOOKUP($B31,Monster!$B:$B,Monster!$A:$A),""))</f>
        <v/>
      </c>
      <c r="E31" s="13"/>
      <c r="F31" s="13" t="str">
        <f t="array" ref="F31">IF($E31="","",IFERROR(XLOOKUP($E31,All_IDs!$B:$B,All_IDs!$C:$C),""))</f>
        <v/>
      </c>
      <c r="G31" s="13" t="str">
        <f t="array" ref="G31">IF($E31="","",IFERROR(XLOOKUP($E31,All_IDs!$B:$B,All_IDs!$A:$A),""))</f>
        <v/>
      </c>
      <c r="H31" s="13" t="str">
        <f t="array" ref="H31">IF($E31="","",IFERROR(XLOOKUP($E31,All_IDs!$B:$B,All_IDs!$D:$D),""))</f>
        <v/>
      </c>
    </row>
    <row r="32">
      <c r="A32" s="13" t="str">
        <f t="shared" si="1"/>
        <v/>
      </c>
      <c r="B32" s="13"/>
      <c r="C32" s="13" t="str">
        <f t="array" ref="C32">IF($B32="","",IFERROR(XLOOKUP($B32,Monster!$B:$B,Monster!$C:$C),""))</f>
        <v/>
      </c>
      <c r="D32" s="13" t="str">
        <f t="array" ref="D32">IF($B32="","",IFERROR(XLOOKUP($B32,Monster!$B:$B,Monster!$A:$A),""))</f>
        <v/>
      </c>
      <c r="E32" s="13"/>
      <c r="F32" s="13" t="str">
        <f t="array" ref="F32">IF($E32="","",IFERROR(XLOOKUP($E32,All_IDs!$B:$B,All_IDs!$C:$C),""))</f>
        <v/>
      </c>
      <c r="G32" s="13" t="str">
        <f t="array" ref="G32">IF($E32="","",IFERROR(XLOOKUP($E32,All_IDs!$B:$B,All_IDs!$A:$A),""))</f>
        <v/>
      </c>
      <c r="H32" s="13" t="str">
        <f t="array" ref="H32">IF($E32="","",IFERROR(XLOOKUP($E32,All_IDs!$B:$B,All_IDs!$D:$D),""))</f>
        <v/>
      </c>
    </row>
    <row r="33">
      <c r="A33" s="13" t="str">
        <f t="shared" si="1"/>
        <v/>
      </c>
      <c r="B33" s="13"/>
      <c r="C33" s="13" t="str">
        <f t="array" ref="C33">IF($B33="","",IFERROR(XLOOKUP($B33,Monster!$B:$B,Monster!$C:$C),""))</f>
        <v/>
      </c>
      <c r="D33" s="13" t="str">
        <f t="array" ref="D33">IF($B33="","",IFERROR(XLOOKUP($B33,Monster!$B:$B,Monster!$A:$A),""))</f>
        <v/>
      </c>
      <c r="E33" s="13"/>
      <c r="F33" s="13" t="str">
        <f t="array" ref="F33">IF($E33="","",IFERROR(XLOOKUP($E33,All_IDs!$B:$B,All_IDs!$C:$C),""))</f>
        <v/>
      </c>
      <c r="G33" s="13" t="str">
        <f t="array" ref="G33">IF($E33="","",IFERROR(XLOOKUP($E33,All_IDs!$B:$B,All_IDs!$A:$A),""))</f>
        <v/>
      </c>
      <c r="H33" s="13" t="str">
        <f t="array" ref="H33">IF($E33="","",IFERROR(XLOOKUP($E33,All_IDs!$B:$B,All_IDs!$D:$D),""))</f>
        <v/>
      </c>
    </row>
    <row r="34">
      <c r="A34" s="13" t="str">
        <f t="shared" si="1"/>
        <v/>
      </c>
      <c r="B34" s="13"/>
      <c r="C34" s="13" t="str">
        <f t="array" ref="C34">IF($B34="","",IFERROR(XLOOKUP($B34,Monster!$B:$B,Monster!$C:$C),""))</f>
        <v/>
      </c>
      <c r="D34" s="13" t="str">
        <f t="array" ref="D34">IF($B34="","",IFERROR(XLOOKUP($B34,Monster!$B:$B,Monster!$A:$A),""))</f>
        <v/>
      </c>
      <c r="E34" s="13"/>
      <c r="F34" s="13" t="str">
        <f t="array" ref="F34">IF($E34="","",IFERROR(XLOOKUP($E34,All_IDs!$B:$B,All_IDs!$C:$C),""))</f>
        <v/>
      </c>
      <c r="G34" s="13" t="str">
        <f t="array" ref="G34">IF($E34="","",IFERROR(XLOOKUP($E34,All_IDs!$B:$B,All_IDs!$A:$A),""))</f>
        <v/>
      </c>
      <c r="H34" s="13" t="str">
        <f t="array" ref="H34">IF($E34="","",IFERROR(XLOOKUP($E34,All_IDs!$B:$B,All_IDs!$D:$D),""))</f>
        <v/>
      </c>
    </row>
    <row r="35">
      <c r="A35" s="13" t="str">
        <f t="shared" si="1"/>
        <v/>
      </c>
      <c r="B35" s="13"/>
      <c r="C35" s="13" t="str">
        <f t="array" ref="C35">IF($B35="","",IFERROR(XLOOKUP($B35,Monster!$B:$B,Monster!$C:$C),""))</f>
        <v/>
      </c>
      <c r="D35" s="13" t="str">
        <f t="array" ref="D35">IF($B35="","",IFERROR(XLOOKUP($B35,Monster!$B:$B,Monster!$A:$A),""))</f>
        <v/>
      </c>
      <c r="E35" s="13"/>
      <c r="F35" s="13" t="str">
        <f t="array" ref="F35">IF($E35="","",IFERROR(XLOOKUP($E35,All_IDs!$B:$B,All_IDs!$C:$C),""))</f>
        <v/>
      </c>
      <c r="G35" s="13" t="str">
        <f t="array" ref="G35">IF($E35="","",IFERROR(XLOOKUP($E35,All_IDs!$B:$B,All_IDs!$A:$A),""))</f>
        <v/>
      </c>
      <c r="H35" s="13" t="str">
        <f t="array" ref="H35">IF($E35="","",IFERROR(XLOOKUP($E35,All_IDs!$B:$B,All_IDs!$D:$D),""))</f>
        <v/>
      </c>
    </row>
    <row r="36">
      <c r="A36" s="13" t="str">
        <f t="shared" si="1"/>
        <v/>
      </c>
      <c r="B36" s="13"/>
      <c r="C36" s="13" t="str">
        <f t="array" ref="C36">IF($B36="","",IFERROR(XLOOKUP($B36,Monster!$B:$B,Monster!$C:$C),""))</f>
        <v/>
      </c>
      <c r="D36" s="13" t="str">
        <f t="array" ref="D36">IF($B36="","",IFERROR(XLOOKUP($B36,Monster!$B:$B,Monster!$A:$A),""))</f>
        <v/>
      </c>
      <c r="E36" s="13"/>
      <c r="F36" s="13" t="str">
        <f t="array" ref="F36">IF($E36="","",IFERROR(XLOOKUP($E36,All_IDs!$B:$B,All_IDs!$C:$C),""))</f>
        <v/>
      </c>
      <c r="G36" s="13" t="str">
        <f t="array" ref="G36">IF($E36="","",IFERROR(XLOOKUP($E36,All_IDs!$B:$B,All_IDs!$A:$A),""))</f>
        <v/>
      </c>
      <c r="H36" s="13" t="str">
        <f t="array" ref="H36">IF($E36="","",IFERROR(XLOOKUP($E36,All_IDs!$B:$B,All_IDs!$D:$D),""))</f>
        <v/>
      </c>
    </row>
    <row r="37">
      <c r="A37" s="13" t="str">
        <f t="shared" si="1"/>
        <v/>
      </c>
      <c r="B37" s="13"/>
      <c r="C37" s="13" t="str">
        <f t="array" ref="C37">IF($B37="","",IFERROR(XLOOKUP($B37,Monster!$B:$B,Monster!$C:$C),""))</f>
        <v/>
      </c>
      <c r="D37" s="13" t="str">
        <f t="array" ref="D37">IF($B37="","",IFERROR(XLOOKUP($B37,Monster!$B:$B,Monster!$A:$A),""))</f>
        <v/>
      </c>
      <c r="E37" s="13"/>
      <c r="F37" s="13" t="str">
        <f t="array" ref="F37">IF($E37="","",IFERROR(XLOOKUP($E37,All_IDs!$B:$B,All_IDs!$C:$C),""))</f>
        <v/>
      </c>
      <c r="G37" s="13" t="str">
        <f t="array" ref="G37">IF($E37="","",IFERROR(XLOOKUP($E37,All_IDs!$B:$B,All_IDs!$A:$A),""))</f>
        <v/>
      </c>
      <c r="H37" s="13" t="str">
        <f t="array" ref="H37">IF($E37="","",IFERROR(XLOOKUP($E37,All_IDs!$B:$B,All_IDs!$D:$D),""))</f>
        <v/>
      </c>
    </row>
    <row r="38">
      <c r="A38" s="13" t="str">
        <f t="shared" si="1"/>
        <v/>
      </c>
      <c r="B38" s="13"/>
      <c r="C38" s="13" t="str">
        <f t="array" ref="C38">IF($B38="","",IFERROR(XLOOKUP($B38,Monster!$B:$B,Monster!$C:$C),""))</f>
        <v/>
      </c>
      <c r="D38" s="13" t="str">
        <f t="array" ref="D38">IF($B38="","",IFERROR(XLOOKUP($B38,Monster!$B:$B,Monster!$A:$A),""))</f>
        <v/>
      </c>
      <c r="E38" s="13"/>
      <c r="F38" s="13" t="str">
        <f t="array" ref="F38">IF($E38="","",IFERROR(XLOOKUP($E38,All_IDs!$B:$B,All_IDs!$C:$C),""))</f>
        <v/>
      </c>
      <c r="G38" s="13" t="str">
        <f t="array" ref="G38">IF($E38="","",IFERROR(XLOOKUP($E38,All_IDs!$B:$B,All_IDs!$A:$A),""))</f>
        <v/>
      </c>
      <c r="H38" s="13" t="str">
        <f t="array" ref="H38">IF($E38="","",IFERROR(XLOOKUP($E38,All_IDs!$B:$B,All_IDs!$D:$D),""))</f>
        <v/>
      </c>
    </row>
    <row r="39">
      <c r="A39" s="13" t="str">
        <f t="shared" si="1"/>
        <v/>
      </c>
      <c r="B39" s="13"/>
      <c r="C39" s="13" t="str">
        <f t="array" ref="C39">IF($B39="","",IFERROR(XLOOKUP($B39,Monster!$B:$B,Monster!$C:$C),""))</f>
        <v/>
      </c>
      <c r="D39" s="13" t="str">
        <f t="array" ref="D39">IF($B39="","",IFERROR(XLOOKUP($B39,Monster!$B:$B,Monster!$A:$A),""))</f>
        <v/>
      </c>
      <c r="E39" s="13"/>
      <c r="F39" s="13" t="str">
        <f t="array" ref="F39">IF($E39="","",IFERROR(XLOOKUP($E39,All_IDs!$B:$B,All_IDs!$C:$C),""))</f>
        <v/>
      </c>
      <c r="G39" s="13" t="str">
        <f t="array" ref="G39">IF($E39="","",IFERROR(XLOOKUP($E39,All_IDs!$B:$B,All_IDs!$A:$A),""))</f>
        <v/>
      </c>
      <c r="H39" s="13" t="str">
        <f t="array" ref="H39">IF($E39="","",IFERROR(XLOOKUP($E39,All_IDs!$B:$B,All_IDs!$D:$D),""))</f>
        <v/>
      </c>
    </row>
    <row r="40">
      <c r="A40" s="13" t="str">
        <f t="shared" si="1"/>
        <v/>
      </c>
      <c r="B40" s="13"/>
      <c r="C40" s="13" t="str">
        <f t="array" ref="C40">IF($B40="","",IFERROR(XLOOKUP($B40,Monster!$B:$B,Monster!$C:$C),""))</f>
        <v/>
      </c>
      <c r="D40" s="13" t="str">
        <f t="array" ref="D40">IF($B40="","",IFERROR(XLOOKUP($B40,Monster!$B:$B,Monster!$A:$A),""))</f>
        <v/>
      </c>
      <c r="E40" s="13"/>
      <c r="F40" s="13" t="str">
        <f t="array" ref="F40">IF($E40="","",IFERROR(XLOOKUP($E40,All_IDs!$B:$B,All_IDs!$C:$C),""))</f>
        <v/>
      </c>
      <c r="G40" s="13" t="str">
        <f t="array" ref="G40">IF($E40="","",IFERROR(XLOOKUP($E40,All_IDs!$B:$B,All_IDs!$A:$A),""))</f>
        <v/>
      </c>
      <c r="H40" s="13" t="str">
        <f t="array" ref="H40">IF($E40="","",IFERROR(XLOOKUP($E40,All_IDs!$B:$B,All_IDs!$D:$D),""))</f>
        <v/>
      </c>
    </row>
    <row r="41">
      <c r="A41" s="13" t="str">
        <f t="shared" si="1"/>
        <v/>
      </c>
      <c r="B41" s="13"/>
      <c r="C41" s="13" t="str">
        <f t="array" ref="C41">IF($B41="","",IFERROR(XLOOKUP($B41,Monster!$B:$B,Monster!$C:$C),""))</f>
        <v/>
      </c>
      <c r="D41" s="13" t="str">
        <f t="array" ref="D41">IF($B41="","",IFERROR(XLOOKUP($B41,Monster!$B:$B,Monster!$A:$A),""))</f>
        <v/>
      </c>
      <c r="E41" s="13"/>
      <c r="F41" s="13" t="str">
        <f t="array" ref="F41">IF($E41="","",IFERROR(XLOOKUP($E41,All_IDs!$B:$B,All_IDs!$C:$C),""))</f>
        <v/>
      </c>
      <c r="G41" s="13" t="str">
        <f t="array" ref="G41">IF($E41="","",IFERROR(XLOOKUP($E41,All_IDs!$B:$B,All_IDs!$A:$A),""))</f>
        <v/>
      </c>
      <c r="H41" s="13" t="str">
        <f t="array" ref="H41">IF($E41="","",IFERROR(XLOOKUP($E41,All_IDs!$B:$B,All_IDs!$D:$D),""))</f>
        <v/>
      </c>
    </row>
    <row r="42">
      <c r="A42" s="13" t="str">
        <f t="shared" si="1"/>
        <v/>
      </c>
      <c r="B42" s="13"/>
      <c r="C42" s="13" t="str">
        <f t="array" ref="C42">IF($B42="","",IFERROR(XLOOKUP($B42,Monster!$B:$B,Monster!$C:$C),""))</f>
        <v/>
      </c>
      <c r="D42" s="13" t="str">
        <f t="array" ref="D42">IF($B42="","",IFERROR(XLOOKUP($B42,Monster!$B:$B,Monster!$A:$A),""))</f>
        <v/>
      </c>
      <c r="E42" s="13"/>
      <c r="F42" s="13" t="str">
        <f t="array" ref="F42">IF($E42="","",IFERROR(XLOOKUP($E42,All_IDs!$B:$B,All_IDs!$C:$C),""))</f>
        <v/>
      </c>
      <c r="G42" s="13" t="str">
        <f t="array" ref="G42">IF($E42="","",IFERROR(XLOOKUP($E42,All_IDs!$B:$B,All_IDs!$A:$A),""))</f>
        <v/>
      </c>
      <c r="H42" s="13" t="str">
        <f t="array" ref="H42">IF($E42="","",IFERROR(XLOOKUP($E42,All_IDs!$B:$B,All_IDs!$D:$D),""))</f>
        <v/>
      </c>
    </row>
    <row r="43">
      <c r="A43" s="13" t="str">
        <f t="shared" si="1"/>
        <v/>
      </c>
      <c r="B43" s="13"/>
      <c r="C43" s="13" t="str">
        <f t="array" ref="C43">IF($B43="","",IFERROR(XLOOKUP($B43,Monster!$B:$B,Monster!$C:$C),""))</f>
        <v/>
      </c>
      <c r="D43" s="13" t="str">
        <f t="array" ref="D43">IF($B43="","",IFERROR(XLOOKUP($B43,Monster!$B:$B,Monster!$A:$A),""))</f>
        <v/>
      </c>
      <c r="E43" s="13"/>
      <c r="F43" s="13" t="str">
        <f t="array" ref="F43">IF($E43="","",IFERROR(XLOOKUP($E43,All_IDs!$B:$B,All_IDs!$C:$C),""))</f>
        <v/>
      </c>
      <c r="G43" s="13" t="str">
        <f t="array" ref="G43">IF($E43="","",IFERROR(XLOOKUP($E43,All_IDs!$B:$B,All_IDs!$A:$A),""))</f>
        <v/>
      </c>
      <c r="H43" s="13" t="str">
        <f t="array" ref="H43">IF($E43="","",IFERROR(XLOOKUP($E43,All_IDs!$B:$B,All_IDs!$D:$D),""))</f>
        <v/>
      </c>
    </row>
    <row r="44">
      <c r="A44" s="13" t="str">
        <f t="shared" si="1"/>
        <v/>
      </c>
      <c r="B44" s="13"/>
      <c r="C44" s="13" t="str">
        <f t="array" ref="C44">IF($B44="","",IFERROR(XLOOKUP($B44,Monster!$B:$B,Monster!$C:$C),""))</f>
        <v/>
      </c>
      <c r="D44" s="13" t="str">
        <f t="array" ref="D44">IF($B44="","",IFERROR(XLOOKUP($B44,Monster!$B:$B,Monster!$A:$A),""))</f>
        <v/>
      </c>
      <c r="E44" s="13"/>
      <c r="F44" s="13" t="str">
        <f t="array" ref="F44">IF($E44="","",IFERROR(XLOOKUP($E44,All_IDs!$B:$B,All_IDs!$C:$C),""))</f>
        <v/>
      </c>
      <c r="G44" s="13" t="str">
        <f t="array" ref="G44">IF($E44="","",IFERROR(XLOOKUP($E44,All_IDs!$B:$B,All_IDs!$A:$A),""))</f>
        <v/>
      </c>
      <c r="H44" s="13" t="str">
        <f t="array" ref="H44">IF($E44="","",IFERROR(XLOOKUP($E44,All_IDs!$B:$B,All_IDs!$D:$D),""))</f>
        <v/>
      </c>
    </row>
    <row r="45">
      <c r="A45" s="13" t="str">
        <f t="shared" si="1"/>
        <v/>
      </c>
      <c r="B45" s="13"/>
      <c r="C45" s="13" t="str">
        <f t="array" ref="C45">IF($B45="","",IFERROR(XLOOKUP($B45,Monster!$B:$B,Monster!$C:$C),""))</f>
        <v/>
      </c>
      <c r="D45" s="13" t="str">
        <f t="array" ref="D45">IF($B45="","",IFERROR(XLOOKUP($B45,Monster!$B:$B,Monster!$A:$A),""))</f>
        <v/>
      </c>
      <c r="E45" s="13"/>
      <c r="F45" s="13" t="str">
        <f t="array" ref="F45">IF($E45="","",IFERROR(XLOOKUP($E45,All_IDs!$B:$B,All_IDs!$C:$C),""))</f>
        <v/>
      </c>
      <c r="G45" s="13" t="str">
        <f t="array" ref="G45">IF($E45="","",IFERROR(XLOOKUP($E45,All_IDs!$B:$B,All_IDs!$A:$A),""))</f>
        <v/>
      </c>
      <c r="H45" s="13" t="str">
        <f t="array" ref="H45">IF($E45="","",IFERROR(XLOOKUP($E45,All_IDs!$B:$B,All_IDs!$D:$D),""))</f>
        <v/>
      </c>
    </row>
    <row r="46">
      <c r="A46" s="13" t="str">
        <f t="shared" si="1"/>
        <v/>
      </c>
      <c r="B46" s="13"/>
      <c r="C46" s="13" t="str">
        <f t="array" ref="C46">IF($B46="","",IFERROR(XLOOKUP($B46,Monster!$B:$B,Monster!$C:$C),""))</f>
        <v/>
      </c>
      <c r="D46" s="13" t="str">
        <f t="array" ref="D46">IF($B46="","",IFERROR(XLOOKUP($B46,Monster!$B:$B,Monster!$A:$A),""))</f>
        <v/>
      </c>
      <c r="E46" s="13"/>
      <c r="F46" s="13" t="str">
        <f t="array" ref="F46">IF($E46="","",IFERROR(XLOOKUP($E46,All_IDs!$B:$B,All_IDs!$C:$C),""))</f>
        <v/>
      </c>
      <c r="G46" s="13" t="str">
        <f t="array" ref="G46">IF($E46="","",IFERROR(XLOOKUP($E46,All_IDs!$B:$B,All_IDs!$A:$A),""))</f>
        <v/>
      </c>
      <c r="H46" s="13" t="str">
        <f t="array" ref="H46">IF($E46="","",IFERROR(XLOOKUP($E46,All_IDs!$B:$B,All_IDs!$D:$D),""))</f>
        <v/>
      </c>
    </row>
    <row r="47">
      <c r="A47" s="13" t="str">
        <f t="shared" si="1"/>
        <v/>
      </c>
      <c r="B47" s="13"/>
      <c r="C47" s="13" t="str">
        <f t="array" ref="C47">IF($B47="","",IFERROR(XLOOKUP($B47,Monster!$B:$B,Monster!$C:$C),""))</f>
        <v/>
      </c>
      <c r="D47" s="13" t="str">
        <f t="array" ref="D47">IF($B47="","",IFERROR(XLOOKUP($B47,Monster!$B:$B,Monster!$A:$A),""))</f>
        <v/>
      </c>
      <c r="E47" s="13"/>
      <c r="F47" s="13" t="str">
        <f t="array" ref="F47">IF($E47="","",IFERROR(XLOOKUP($E47,All_IDs!$B:$B,All_IDs!$C:$C),""))</f>
        <v/>
      </c>
      <c r="G47" s="13" t="str">
        <f t="array" ref="G47">IF($E47="","",IFERROR(XLOOKUP($E47,All_IDs!$B:$B,All_IDs!$A:$A),""))</f>
        <v/>
      </c>
      <c r="H47" s="13" t="str">
        <f t="array" ref="H47">IF($E47="","",IFERROR(XLOOKUP($E47,All_IDs!$B:$B,All_IDs!$D:$D),""))</f>
        <v/>
      </c>
    </row>
    <row r="48">
      <c r="A48" s="13" t="str">
        <f t="shared" si="1"/>
        <v/>
      </c>
      <c r="B48" s="13"/>
      <c r="C48" s="13" t="str">
        <f t="array" ref="C48">IF($B48="","",IFERROR(XLOOKUP($B48,Monster!$B:$B,Monster!$C:$C),""))</f>
        <v/>
      </c>
      <c r="D48" s="13" t="str">
        <f t="array" ref="D48">IF($B48="","",IFERROR(XLOOKUP($B48,Monster!$B:$B,Monster!$A:$A),""))</f>
        <v/>
      </c>
      <c r="E48" s="13"/>
      <c r="F48" s="13" t="str">
        <f t="array" ref="F48">IF($E48="","",IFERROR(XLOOKUP($E48,All_IDs!$B:$B,All_IDs!$C:$C),""))</f>
        <v/>
      </c>
      <c r="G48" s="13" t="str">
        <f t="array" ref="G48">IF($E48="","",IFERROR(XLOOKUP($E48,All_IDs!$B:$B,All_IDs!$A:$A),""))</f>
        <v/>
      </c>
      <c r="H48" s="13" t="str">
        <f t="array" ref="H48">IF($E48="","",IFERROR(XLOOKUP($E48,All_IDs!$B:$B,All_IDs!$D:$D),""))</f>
        <v/>
      </c>
    </row>
    <row r="49">
      <c r="A49" s="13" t="str">
        <f t="shared" si="1"/>
        <v/>
      </c>
      <c r="B49" s="13"/>
      <c r="C49" s="13" t="str">
        <f t="array" ref="C49">IF($B49="","",IFERROR(XLOOKUP($B49,Monster!$B:$B,Monster!$C:$C),""))</f>
        <v/>
      </c>
      <c r="D49" s="13" t="str">
        <f t="array" ref="D49">IF($B49="","",IFERROR(XLOOKUP($B49,Monster!$B:$B,Monster!$A:$A),""))</f>
        <v/>
      </c>
      <c r="E49" s="13"/>
      <c r="F49" s="13" t="str">
        <f t="array" ref="F49">IF($E49="","",IFERROR(XLOOKUP($E49,All_IDs!$B:$B,All_IDs!$C:$C),""))</f>
        <v/>
      </c>
      <c r="G49" s="13" t="str">
        <f t="array" ref="G49">IF($E49="","",IFERROR(XLOOKUP($E49,All_IDs!$B:$B,All_IDs!$A:$A),""))</f>
        <v/>
      </c>
      <c r="H49" s="13" t="str">
        <f t="array" ref="H49">IF($E49="","",IFERROR(XLOOKUP($E49,All_IDs!$B:$B,All_IDs!$D:$D),""))</f>
        <v/>
      </c>
    </row>
    <row r="50">
      <c r="A50" s="13" t="str">
        <f t="shared" si="1"/>
        <v/>
      </c>
      <c r="B50" s="13"/>
      <c r="C50" s="13" t="str">
        <f t="array" ref="C50">IF($B50="","",IFERROR(XLOOKUP($B50,Monster!$B:$B,Monster!$C:$C),""))</f>
        <v/>
      </c>
      <c r="D50" s="13" t="str">
        <f t="array" ref="D50">IF($B50="","",IFERROR(XLOOKUP($B50,Monster!$B:$B,Monster!$A:$A),""))</f>
        <v/>
      </c>
      <c r="E50" s="13"/>
      <c r="F50" s="13" t="str">
        <f t="array" ref="F50">IF($E50="","",IFERROR(XLOOKUP($E50,All_IDs!$B:$B,All_IDs!$C:$C),""))</f>
        <v/>
      </c>
      <c r="G50" s="13" t="str">
        <f t="array" ref="G50">IF($E50="","",IFERROR(XLOOKUP($E50,All_IDs!$B:$B,All_IDs!$A:$A),""))</f>
        <v/>
      </c>
      <c r="H50" s="13" t="str">
        <f t="array" ref="H50">IF($E50="","",IFERROR(XLOOKUP($E50,All_IDs!$B:$B,All_IDs!$D:$D),""))</f>
        <v/>
      </c>
    </row>
    <row r="51">
      <c r="A51" s="13" t="str">
        <f t="shared" si="1"/>
        <v/>
      </c>
      <c r="B51" s="13"/>
      <c r="C51" s="13" t="str">
        <f t="array" ref="C51">IF($B51="","",IFERROR(XLOOKUP($B51,Monster!$B:$B,Monster!$C:$C),""))</f>
        <v/>
      </c>
      <c r="D51" s="13" t="str">
        <f t="array" ref="D51">IF($B51="","",IFERROR(XLOOKUP($B51,Monster!$B:$B,Monster!$A:$A),""))</f>
        <v/>
      </c>
      <c r="E51" s="13"/>
      <c r="F51" s="13" t="str">
        <f t="array" ref="F51">IF($E51="","",IFERROR(XLOOKUP($E51,All_IDs!$B:$B,All_IDs!$C:$C),""))</f>
        <v/>
      </c>
      <c r="G51" s="13" t="str">
        <f t="array" ref="G51">IF($E51="","",IFERROR(XLOOKUP($E51,All_IDs!$B:$B,All_IDs!$A:$A),""))</f>
        <v/>
      </c>
      <c r="H51" s="13" t="str">
        <f t="array" ref="H51">IF($E51="","",IFERROR(XLOOKUP($E51,All_IDs!$B:$B,All_IDs!$D:$D),""))</f>
        <v/>
      </c>
    </row>
    <row r="52">
      <c r="A52" s="13" t="str">
        <f t="shared" si="1"/>
        <v/>
      </c>
      <c r="B52" s="13"/>
      <c r="C52" s="13" t="str">
        <f t="array" ref="C52">IF($B52="","",IFERROR(XLOOKUP($B52,Monster!$B:$B,Monster!$C:$C),""))</f>
        <v/>
      </c>
      <c r="D52" s="13" t="str">
        <f t="array" ref="D52">IF($B52="","",IFERROR(XLOOKUP($B52,Monster!$B:$B,Monster!$A:$A),""))</f>
        <v/>
      </c>
      <c r="E52" s="13"/>
      <c r="F52" s="13" t="str">
        <f t="array" ref="F52">IF($E52="","",IFERROR(XLOOKUP($E52,All_IDs!$B:$B,All_IDs!$C:$C),""))</f>
        <v/>
      </c>
      <c r="G52" s="13" t="str">
        <f t="array" ref="G52">IF($E52="","",IFERROR(XLOOKUP($E52,All_IDs!$B:$B,All_IDs!$A:$A),""))</f>
        <v/>
      </c>
      <c r="H52" s="13" t="str">
        <f t="array" ref="H52">IF($E52="","",IFERROR(XLOOKUP($E52,All_IDs!$B:$B,All_IDs!$D:$D),""))</f>
        <v/>
      </c>
    </row>
    <row r="53">
      <c r="A53" s="13" t="str">
        <f t="shared" si="1"/>
        <v/>
      </c>
      <c r="B53" s="13"/>
      <c r="C53" s="13" t="str">
        <f t="array" ref="C53">IF($B53="","",IFERROR(XLOOKUP($B53,Monster!$B:$B,Monster!$C:$C),""))</f>
        <v/>
      </c>
      <c r="D53" s="13" t="str">
        <f t="array" ref="D53">IF($B53="","",IFERROR(XLOOKUP($B53,Monster!$B:$B,Monster!$A:$A),""))</f>
        <v/>
      </c>
      <c r="E53" s="13"/>
      <c r="F53" s="13" t="str">
        <f t="array" ref="F53">IF($E53="","",IFERROR(XLOOKUP($E53,All_IDs!$B:$B,All_IDs!$C:$C),""))</f>
        <v/>
      </c>
      <c r="G53" s="13" t="str">
        <f t="array" ref="G53">IF($E53="","",IFERROR(XLOOKUP($E53,All_IDs!$B:$B,All_IDs!$A:$A),""))</f>
        <v/>
      </c>
      <c r="H53" s="13" t="str">
        <f t="array" ref="H53">IF($E53="","",IFERROR(XLOOKUP($E53,All_IDs!$B:$B,All_IDs!$D:$D),""))</f>
        <v/>
      </c>
    </row>
    <row r="54">
      <c r="A54" s="13" t="str">
        <f t="shared" si="1"/>
        <v/>
      </c>
      <c r="B54" s="13"/>
      <c r="C54" s="13" t="str">
        <f t="array" ref="C54">IF($B54="","",IFERROR(XLOOKUP($B54,Monster!$B:$B,Monster!$C:$C),""))</f>
        <v/>
      </c>
      <c r="D54" s="13" t="str">
        <f t="array" ref="D54">IF($B54="","",IFERROR(XLOOKUP($B54,Monster!$B:$B,Monster!$A:$A),""))</f>
        <v/>
      </c>
      <c r="E54" s="13"/>
      <c r="F54" s="13" t="str">
        <f t="array" ref="F54">IF($E54="","",IFERROR(XLOOKUP($E54,All_IDs!$B:$B,All_IDs!$C:$C),""))</f>
        <v/>
      </c>
      <c r="G54" s="13" t="str">
        <f t="array" ref="G54">IF($E54="","",IFERROR(XLOOKUP($E54,All_IDs!$B:$B,All_IDs!$A:$A),""))</f>
        <v/>
      </c>
      <c r="H54" s="13" t="str">
        <f t="array" ref="H54">IF($E54="","",IFERROR(XLOOKUP($E54,All_IDs!$B:$B,All_IDs!$D:$D),""))</f>
        <v/>
      </c>
    </row>
    <row r="55">
      <c r="A55" s="13" t="str">
        <f t="shared" si="1"/>
        <v/>
      </c>
      <c r="B55" s="13"/>
      <c r="C55" s="13" t="str">
        <f t="array" ref="C55">IF($B55="","",IFERROR(XLOOKUP($B55,Monster!$B:$B,Monster!$C:$C),""))</f>
        <v/>
      </c>
      <c r="D55" s="13" t="str">
        <f t="array" ref="D55">IF($B55="","",IFERROR(XLOOKUP($B55,Monster!$B:$B,Monster!$A:$A),""))</f>
        <v/>
      </c>
      <c r="E55" s="13"/>
      <c r="F55" s="13" t="str">
        <f t="array" ref="F55">IF($E55="","",IFERROR(XLOOKUP($E55,All_IDs!$B:$B,All_IDs!$C:$C),""))</f>
        <v/>
      </c>
      <c r="G55" s="13" t="str">
        <f t="array" ref="G55">IF($E55="","",IFERROR(XLOOKUP($E55,All_IDs!$B:$B,All_IDs!$A:$A),""))</f>
        <v/>
      </c>
      <c r="H55" s="13" t="str">
        <f t="array" ref="H55">IF($E55="","",IFERROR(XLOOKUP($E55,All_IDs!$B:$B,All_IDs!$D:$D),""))</f>
        <v/>
      </c>
    </row>
    <row r="56">
      <c r="A56" s="13" t="str">
        <f t="shared" si="1"/>
        <v/>
      </c>
      <c r="B56" s="13"/>
      <c r="C56" s="13" t="str">
        <f t="array" ref="C56">IF($B56="","",IFERROR(XLOOKUP($B56,Monster!$B:$B,Monster!$C:$C),""))</f>
        <v/>
      </c>
      <c r="D56" s="13" t="str">
        <f t="array" ref="D56">IF($B56="","",IFERROR(XLOOKUP($B56,Monster!$B:$B,Monster!$A:$A),""))</f>
        <v/>
      </c>
      <c r="E56" s="13"/>
      <c r="F56" s="13" t="str">
        <f t="array" ref="F56">IF($E56="","",IFERROR(XLOOKUP($E56,All_IDs!$B:$B,All_IDs!$C:$C),""))</f>
        <v/>
      </c>
      <c r="G56" s="13" t="str">
        <f t="array" ref="G56">IF($E56="","",IFERROR(XLOOKUP($E56,All_IDs!$B:$B,All_IDs!$A:$A),""))</f>
        <v/>
      </c>
      <c r="H56" s="13" t="str">
        <f t="array" ref="H56">IF($E56="","",IFERROR(XLOOKUP($E56,All_IDs!$B:$B,All_IDs!$D:$D),""))</f>
        <v/>
      </c>
    </row>
    <row r="57">
      <c r="A57" s="13" t="str">
        <f t="shared" si="1"/>
        <v/>
      </c>
      <c r="B57" s="13"/>
      <c r="C57" s="13" t="str">
        <f t="array" ref="C57">IF($B57="","",IFERROR(XLOOKUP($B57,Monster!$B:$B,Monster!$C:$C),""))</f>
        <v/>
      </c>
      <c r="D57" s="13" t="str">
        <f t="array" ref="D57">IF($B57="","",IFERROR(XLOOKUP($B57,Monster!$B:$B,Monster!$A:$A),""))</f>
        <v/>
      </c>
      <c r="E57" s="13"/>
      <c r="F57" s="13" t="str">
        <f t="array" ref="F57">IF($E57="","",IFERROR(XLOOKUP($E57,All_IDs!$B:$B,All_IDs!$C:$C),""))</f>
        <v/>
      </c>
      <c r="G57" s="13" t="str">
        <f t="array" ref="G57">IF($E57="","",IFERROR(XLOOKUP($E57,All_IDs!$B:$B,All_IDs!$A:$A),""))</f>
        <v/>
      </c>
      <c r="H57" s="13" t="str">
        <f t="array" ref="H57">IF($E57="","",IFERROR(XLOOKUP($E57,All_IDs!$B:$B,All_IDs!$D:$D),""))</f>
        <v/>
      </c>
    </row>
    <row r="58">
      <c r="A58" s="13" t="str">
        <f t="shared" si="1"/>
        <v/>
      </c>
      <c r="B58" s="13"/>
      <c r="C58" s="13" t="str">
        <f t="array" ref="C58">IF($B58="","",IFERROR(XLOOKUP($B58,Monster!$B:$B,Monster!$C:$C),""))</f>
        <v/>
      </c>
      <c r="D58" s="13" t="str">
        <f t="array" ref="D58">IF($B58="","",IFERROR(XLOOKUP($B58,Monster!$B:$B,Monster!$A:$A),""))</f>
        <v/>
      </c>
      <c r="E58" s="13"/>
      <c r="F58" s="13" t="str">
        <f t="array" ref="F58">IF($E58="","",IFERROR(XLOOKUP($E58,All_IDs!$B:$B,All_IDs!$C:$C),""))</f>
        <v/>
      </c>
      <c r="G58" s="13" t="str">
        <f t="array" ref="G58">IF($E58="","",IFERROR(XLOOKUP($E58,All_IDs!$B:$B,All_IDs!$A:$A),""))</f>
        <v/>
      </c>
      <c r="H58" s="13" t="str">
        <f t="array" ref="H58">IF($E58="","",IFERROR(XLOOKUP($E58,All_IDs!$B:$B,All_IDs!$D:$D),""))</f>
        <v/>
      </c>
    </row>
    <row r="59">
      <c r="A59" s="13" t="str">
        <f t="shared" si="1"/>
        <v/>
      </c>
      <c r="B59" s="13"/>
      <c r="C59" s="13" t="str">
        <f t="array" ref="C59">IF($B59="","",IFERROR(XLOOKUP($B59,Monster!$B:$B,Monster!$C:$C),""))</f>
        <v/>
      </c>
      <c r="D59" s="13" t="str">
        <f t="array" ref="D59">IF($B59="","",IFERROR(XLOOKUP($B59,Monster!$B:$B,Monster!$A:$A),""))</f>
        <v/>
      </c>
      <c r="E59" s="13"/>
      <c r="F59" s="13" t="str">
        <f t="array" ref="F59">IF($E59="","",IFERROR(XLOOKUP($E59,All_IDs!$B:$B,All_IDs!$C:$C),""))</f>
        <v/>
      </c>
      <c r="G59" s="13" t="str">
        <f t="array" ref="G59">IF($E59="","",IFERROR(XLOOKUP($E59,All_IDs!$B:$B,All_IDs!$A:$A),""))</f>
        <v/>
      </c>
      <c r="H59" s="13" t="str">
        <f t="array" ref="H59">IF($E59="","",IFERROR(XLOOKUP($E59,All_IDs!$B:$B,All_IDs!$D:$D),""))</f>
        <v/>
      </c>
    </row>
    <row r="60">
      <c r="A60" s="13" t="str">
        <f t="shared" si="1"/>
        <v/>
      </c>
      <c r="B60" s="13"/>
      <c r="C60" s="13" t="str">
        <f t="array" ref="C60">IF($B60="","",IFERROR(XLOOKUP($B60,Monster!$B:$B,Monster!$C:$C),""))</f>
        <v/>
      </c>
      <c r="D60" s="13" t="str">
        <f t="array" ref="D60">IF($B60="","",IFERROR(XLOOKUP($B60,Monster!$B:$B,Monster!$A:$A),""))</f>
        <v/>
      </c>
      <c r="E60" s="13"/>
      <c r="F60" s="13" t="str">
        <f t="array" ref="F60">IF($E60="","",IFERROR(XLOOKUP($E60,All_IDs!$B:$B,All_IDs!$C:$C),""))</f>
        <v/>
      </c>
      <c r="G60" s="13" t="str">
        <f t="array" ref="G60">IF($E60="","",IFERROR(XLOOKUP($E60,All_IDs!$B:$B,All_IDs!$A:$A),""))</f>
        <v/>
      </c>
      <c r="H60" s="13" t="str">
        <f t="array" ref="H60">IF($E60="","",IFERROR(XLOOKUP($E60,All_IDs!$B:$B,All_IDs!$D:$D),""))</f>
        <v/>
      </c>
    </row>
    <row r="61">
      <c r="A61" s="13" t="str">
        <f t="shared" si="1"/>
        <v/>
      </c>
      <c r="B61" s="13"/>
      <c r="C61" s="13" t="str">
        <f t="array" ref="C61">IF($B61="","",IFERROR(XLOOKUP($B61,Monster!$B:$B,Monster!$C:$C),""))</f>
        <v/>
      </c>
      <c r="D61" s="13" t="str">
        <f t="array" ref="D61">IF($B61="","",IFERROR(XLOOKUP($B61,Monster!$B:$B,Monster!$A:$A),""))</f>
        <v/>
      </c>
      <c r="E61" s="13"/>
      <c r="F61" s="13" t="str">
        <f t="array" ref="F61">IF($E61="","",IFERROR(XLOOKUP($E61,All_IDs!$B:$B,All_IDs!$C:$C),""))</f>
        <v/>
      </c>
      <c r="G61" s="13" t="str">
        <f t="array" ref="G61">IF($E61="","",IFERROR(XLOOKUP($E61,All_IDs!$B:$B,All_IDs!$A:$A),""))</f>
        <v/>
      </c>
      <c r="H61" s="13" t="str">
        <f t="array" ref="H61">IF($E61="","",IFERROR(XLOOKUP($E61,All_IDs!$B:$B,All_IDs!$D:$D),""))</f>
        <v/>
      </c>
    </row>
    <row r="62">
      <c r="A62" s="13" t="str">
        <f t="shared" si="1"/>
        <v/>
      </c>
      <c r="C62" s="13" t="str">
        <f t="array" ref="C62">IF($B62="","",IFERROR(XLOOKUP($B62,Monster!$B:$B,Monster!$C:$C),""))</f>
        <v/>
      </c>
      <c r="D62" s="13" t="str">
        <f t="array" ref="D62">IF($B62="","",IFERROR(XLOOKUP($B62,Monster!$B:$B,Monster!$A:$A),""))</f>
        <v/>
      </c>
      <c r="F62" s="13" t="str">
        <f t="array" ref="F62">IF($E62="","",IFERROR(XLOOKUP($E62,All_IDs!$B:$B,All_IDs!$C:$C),""))</f>
        <v/>
      </c>
      <c r="G62" s="13" t="str">
        <f t="array" ref="G62">IF($E62="","",IFERROR(XLOOKUP($E62,All_IDs!$B:$B,All_IDs!$A:$A),""))</f>
        <v/>
      </c>
      <c r="H62" s="13" t="str">
        <f t="array" ref="H62">IF($E62="","",IFERROR(XLOOKUP($E62,All_IDs!$B:$B,All_IDs!$D:$D),""))</f>
        <v/>
      </c>
    </row>
    <row r="63">
      <c r="A63" s="13" t="str">
        <f t="shared" si="1"/>
        <v/>
      </c>
      <c r="C63" s="13" t="str">
        <f t="array" ref="C63">IF($B63="","",IFERROR(XLOOKUP($B63,Monster!$B:$B,Monster!$C:$C),""))</f>
        <v/>
      </c>
      <c r="D63" s="13" t="str">
        <f t="array" ref="D63">IF($B63="","",IFERROR(XLOOKUP($B63,Monster!$B:$B,Monster!$A:$A),""))</f>
        <v/>
      </c>
      <c r="F63" s="13" t="str">
        <f t="array" ref="F63">IF($E63="","",IFERROR(XLOOKUP($E63,All_IDs!$B:$B,All_IDs!$C:$C),""))</f>
        <v/>
      </c>
      <c r="G63" s="13" t="str">
        <f t="array" ref="G63">IF($E63="","",IFERROR(XLOOKUP($E63,All_IDs!$B:$B,All_IDs!$A:$A),""))</f>
        <v/>
      </c>
      <c r="H63" s="13" t="str">
        <f t="array" ref="H63">IF($E63="","",IFERROR(XLOOKUP($E63,All_IDs!$B:$B,All_IDs!$D:$D),""))</f>
        <v/>
      </c>
    </row>
    <row r="64">
      <c r="A64" s="13" t="str">
        <f t="shared" si="1"/>
        <v/>
      </c>
      <c r="C64" s="13" t="str">
        <f t="array" ref="C64">IF($B64="","",IFERROR(XLOOKUP($B64,Monster!$B:$B,Monster!$C:$C),""))</f>
        <v/>
      </c>
      <c r="D64" s="13" t="str">
        <f t="array" ref="D64">IF($B64="","",IFERROR(XLOOKUP($B64,Monster!$B:$B,Monster!$A:$A),""))</f>
        <v/>
      </c>
      <c r="F64" s="13" t="str">
        <f t="array" ref="F64">IF($E64="","",IFERROR(XLOOKUP($E64,All_IDs!$B:$B,All_IDs!$C:$C),""))</f>
        <v/>
      </c>
      <c r="G64" s="13" t="str">
        <f t="array" ref="G64">IF($E64="","",IFERROR(XLOOKUP($E64,All_IDs!$B:$B,All_IDs!$A:$A),""))</f>
        <v/>
      </c>
      <c r="H64" s="13" t="str">
        <f t="array" ref="H64">IF($E64="","",IFERROR(XLOOKUP($E64,All_IDs!$B:$B,All_IDs!$D:$D),""))</f>
        <v/>
      </c>
    </row>
    <row r="65">
      <c r="A65" s="13" t="str">
        <f t="shared" si="1"/>
        <v/>
      </c>
      <c r="C65" s="13" t="str">
        <f t="array" ref="C65">IF($B65="","",IFERROR(XLOOKUP($B65,Monster!$B:$B,Monster!$C:$C),""))</f>
        <v/>
      </c>
      <c r="D65" s="13" t="str">
        <f t="array" ref="D65">IF($B65="","",IFERROR(XLOOKUP($B65,Monster!$B:$B,Monster!$A:$A),""))</f>
        <v/>
      </c>
      <c r="F65" s="13" t="str">
        <f t="array" ref="F65">IF($E65="","",IFERROR(XLOOKUP($E65,All_IDs!$B:$B,All_IDs!$C:$C),""))</f>
        <v/>
      </c>
      <c r="G65" s="13" t="str">
        <f t="array" ref="G65">IF($E65="","",IFERROR(XLOOKUP($E65,All_IDs!$B:$B,All_IDs!$A:$A),""))</f>
        <v/>
      </c>
      <c r="H65" s="13" t="str">
        <f t="array" ref="H65">IF($E65="","",IFERROR(XLOOKUP($E65,All_IDs!$B:$B,All_IDs!$D:$D),""))</f>
        <v/>
      </c>
    </row>
    <row r="66">
      <c r="A66" s="13" t="str">
        <f t="shared" si="1"/>
        <v/>
      </c>
      <c r="C66" s="13" t="str">
        <f t="array" ref="C66">IF($B66="","",IFERROR(XLOOKUP($B66,Monster!$B:$B,Monster!$C:$C),""))</f>
        <v/>
      </c>
      <c r="D66" s="13" t="str">
        <f t="array" ref="D66">IF($B66="","",IFERROR(XLOOKUP($B66,Monster!$B:$B,Monster!$A:$A),""))</f>
        <v/>
      </c>
      <c r="F66" s="13" t="str">
        <f t="array" ref="F66">IF($E66="","",IFERROR(XLOOKUP($E66,All_IDs!$B:$B,All_IDs!$C:$C),""))</f>
        <v/>
      </c>
      <c r="G66" s="13" t="str">
        <f t="array" ref="G66">IF($E66="","",IFERROR(XLOOKUP($E66,All_IDs!$B:$B,All_IDs!$A:$A),""))</f>
        <v/>
      </c>
      <c r="H66" s="13" t="str">
        <f t="array" ref="H66">IF($E66="","",IFERROR(XLOOKUP($E66,All_IDs!$B:$B,All_IDs!$D:$D),""))</f>
        <v/>
      </c>
    </row>
    <row r="67">
      <c r="A67" s="13" t="str">
        <f t="shared" si="1"/>
        <v/>
      </c>
      <c r="C67" s="13" t="str">
        <f t="array" ref="C67">IF($B67="","",IFERROR(XLOOKUP($B67,Monster!$B:$B,Monster!$C:$C),""))</f>
        <v/>
      </c>
      <c r="D67" s="13" t="str">
        <f t="array" ref="D67">IF($B67="","",IFERROR(XLOOKUP($B67,Monster!$B:$B,Monster!$A:$A),""))</f>
        <v/>
      </c>
      <c r="F67" s="13" t="str">
        <f t="array" ref="F67">IF($E67="","",IFERROR(XLOOKUP($E67,All_IDs!$B:$B,All_IDs!$C:$C),""))</f>
        <v/>
      </c>
      <c r="G67" s="13" t="str">
        <f t="array" ref="G67">IF($E67="","",IFERROR(XLOOKUP($E67,All_IDs!$B:$B,All_IDs!$A:$A),""))</f>
        <v/>
      </c>
      <c r="H67" s="13" t="str">
        <f t="array" ref="H67">IF($E67="","",IFERROR(XLOOKUP($E67,All_IDs!$B:$B,All_IDs!$D:$D),""))</f>
        <v/>
      </c>
    </row>
    <row r="68">
      <c r="A68" s="13" t="str">
        <f t="shared" si="1"/>
        <v/>
      </c>
      <c r="C68" s="13" t="str">
        <f t="array" ref="C68">IF($B68="","",IFERROR(XLOOKUP($B68,Monster!$B:$B,Monster!$C:$C),""))</f>
        <v/>
      </c>
      <c r="D68" s="13" t="str">
        <f t="array" ref="D68">IF($B68="","",IFERROR(XLOOKUP($B68,Monster!$B:$B,Monster!$A:$A),""))</f>
        <v/>
      </c>
      <c r="F68" s="13" t="str">
        <f t="array" ref="F68">IF($E68="","",IFERROR(XLOOKUP($E68,All_IDs!$B:$B,All_IDs!$C:$C),""))</f>
        <v/>
      </c>
      <c r="G68" s="13" t="str">
        <f t="array" ref="G68">IF($E68="","",IFERROR(XLOOKUP($E68,All_IDs!$B:$B,All_IDs!$A:$A),""))</f>
        <v/>
      </c>
      <c r="H68" s="13" t="str">
        <f t="array" ref="H68">IF($E68="","",IFERROR(XLOOKUP($E68,All_IDs!$B:$B,All_IDs!$D:$D),""))</f>
        <v/>
      </c>
    </row>
    <row r="69">
      <c r="A69" s="13" t="str">
        <f t="shared" si="1"/>
        <v/>
      </c>
      <c r="C69" s="13" t="str">
        <f t="array" ref="C69">IF($B69="","",IFERROR(XLOOKUP($B69,Monster!$B:$B,Monster!$C:$C),""))</f>
        <v/>
      </c>
      <c r="D69" s="13" t="str">
        <f t="array" ref="D69">IF($B69="","",IFERROR(XLOOKUP($B69,Monster!$B:$B,Monster!$A:$A),""))</f>
        <v/>
      </c>
      <c r="F69" s="13" t="str">
        <f t="array" ref="F69">IF($E69="","",IFERROR(XLOOKUP($E69,All_IDs!$B:$B,All_IDs!$C:$C),""))</f>
        <v/>
      </c>
      <c r="G69" s="13" t="str">
        <f t="array" ref="G69">IF($E69="","",IFERROR(XLOOKUP($E69,All_IDs!$B:$B,All_IDs!$A:$A),""))</f>
        <v/>
      </c>
      <c r="H69" s="13" t="str">
        <f t="array" ref="H69">IF($E69="","",IFERROR(XLOOKUP($E69,All_IDs!$B:$B,All_IDs!$D:$D),""))</f>
        <v/>
      </c>
    </row>
    <row r="70">
      <c r="A70" s="13" t="str">
        <f t="shared" si="1"/>
        <v/>
      </c>
      <c r="C70" s="13" t="str">
        <f t="array" ref="C70">IF($B70="","",IFERROR(XLOOKUP($B70,Monster!$B:$B,Monster!$C:$C),""))</f>
        <v/>
      </c>
      <c r="D70" s="13" t="str">
        <f t="array" ref="D70">IF($B70="","",IFERROR(XLOOKUP($B70,Monster!$B:$B,Monster!$A:$A),""))</f>
        <v/>
      </c>
      <c r="F70" s="13" t="str">
        <f t="array" ref="F70">IF($E70="","",IFERROR(XLOOKUP($E70,All_IDs!$B:$B,All_IDs!$C:$C),""))</f>
        <v/>
      </c>
      <c r="G70" s="13" t="str">
        <f t="array" ref="G70">IF($E70="","",IFERROR(XLOOKUP($E70,All_IDs!$B:$B,All_IDs!$A:$A),""))</f>
        <v/>
      </c>
      <c r="H70" s="13" t="str">
        <f t="array" ref="H70">IF($E70="","",IFERROR(XLOOKUP($E70,All_IDs!$B:$B,All_IDs!$D:$D),""))</f>
        <v/>
      </c>
    </row>
    <row r="71">
      <c r="A71" s="13" t="str">
        <f t="shared" si="1"/>
        <v/>
      </c>
      <c r="C71" s="13" t="str">
        <f t="array" ref="C71">IF($B71="","",IFERROR(XLOOKUP($B71,Monster!$B:$B,Monster!$C:$C),""))</f>
        <v/>
      </c>
      <c r="D71" s="13" t="str">
        <f t="array" ref="D71">IF($B71="","",IFERROR(XLOOKUP($B71,Monster!$B:$B,Monster!$A:$A),""))</f>
        <v/>
      </c>
      <c r="F71" s="13" t="str">
        <f t="array" ref="F71">IF($E71="","",IFERROR(XLOOKUP($E71,All_IDs!$B:$B,All_IDs!$C:$C),""))</f>
        <v/>
      </c>
      <c r="G71" s="13" t="str">
        <f t="array" ref="G71">IF($E71="","",IFERROR(XLOOKUP($E71,All_IDs!$B:$B,All_IDs!$A:$A),""))</f>
        <v/>
      </c>
      <c r="H71" s="13" t="str">
        <f t="array" ref="H71">IF($E71="","",IFERROR(XLOOKUP($E71,All_IDs!$B:$B,All_IDs!$D:$D),""))</f>
        <v/>
      </c>
    </row>
    <row r="72">
      <c r="A72" s="13" t="str">
        <f t="shared" si="1"/>
        <v/>
      </c>
      <c r="C72" s="13" t="str">
        <f t="array" ref="C72">IF($B72="","",IFERROR(XLOOKUP($B72,Monster!$B:$B,Monster!$C:$C),""))</f>
        <v/>
      </c>
      <c r="D72" s="13" t="str">
        <f t="array" ref="D72">IF($B72="","",IFERROR(XLOOKUP($B72,Monster!$B:$B,Monster!$A:$A),""))</f>
        <v/>
      </c>
      <c r="F72" s="13" t="str">
        <f t="array" ref="F72">IF($E72="","",IFERROR(XLOOKUP($E72,All_IDs!$B:$B,All_IDs!$C:$C),""))</f>
        <v/>
      </c>
      <c r="G72" s="13" t="str">
        <f t="array" ref="G72">IF($E72="","",IFERROR(XLOOKUP($E72,All_IDs!$B:$B,All_IDs!$A:$A),""))</f>
        <v/>
      </c>
      <c r="H72" s="13" t="str">
        <f t="array" ref="H72">IF($E72="","",IFERROR(XLOOKUP($E72,All_IDs!$B:$B,All_IDs!$D:$D),""))</f>
        <v/>
      </c>
    </row>
    <row r="73">
      <c r="A73" s="13" t="str">
        <f t="shared" si="1"/>
        <v/>
      </c>
      <c r="C73" s="13" t="str">
        <f t="array" ref="C73">IF($B73="","",IFERROR(XLOOKUP($B73,Monster!$B:$B,Monster!$C:$C),""))</f>
        <v/>
      </c>
      <c r="D73" s="13" t="str">
        <f t="array" ref="D73">IF($B73="","",IFERROR(XLOOKUP($B73,Monster!$B:$B,Monster!$A:$A),""))</f>
        <v/>
      </c>
      <c r="F73" s="13" t="str">
        <f t="array" ref="F73">IF($E73="","",IFERROR(XLOOKUP($E73,All_IDs!$B:$B,All_IDs!$C:$C),""))</f>
        <v/>
      </c>
      <c r="G73" s="13" t="str">
        <f t="array" ref="G73">IF($E73="","",IFERROR(XLOOKUP($E73,All_IDs!$B:$B,All_IDs!$A:$A),""))</f>
        <v/>
      </c>
      <c r="H73" s="13" t="str">
        <f t="array" ref="H73">IF($E73="","",IFERROR(XLOOKUP($E73,All_IDs!$B:$B,All_IDs!$D:$D),""))</f>
        <v/>
      </c>
    </row>
    <row r="74">
      <c r="A74" s="13" t="str">
        <f t="shared" si="1"/>
        <v/>
      </c>
      <c r="C74" s="13" t="str">
        <f t="array" ref="C74">IF($B74="","",IFERROR(XLOOKUP($B74,Monster!$B:$B,Monster!$C:$C),""))</f>
        <v/>
      </c>
      <c r="D74" s="13" t="str">
        <f t="array" ref="D74">IF($B74="","",IFERROR(XLOOKUP($B74,Monster!$B:$B,Monster!$A:$A),""))</f>
        <v/>
      </c>
      <c r="F74" s="13" t="str">
        <f t="array" ref="F74">IF($E74="","",IFERROR(XLOOKUP($E74,All_IDs!$B:$B,All_IDs!$C:$C),""))</f>
        <v/>
      </c>
      <c r="G74" s="13" t="str">
        <f t="array" ref="G74">IF($E74="","",IFERROR(XLOOKUP($E74,All_IDs!$B:$B,All_IDs!$A:$A),""))</f>
        <v/>
      </c>
      <c r="H74" s="13" t="str">
        <f t="array" ref="H74">IF($E74="","",IFERROR(XLOOKUP($E74,All_IDs!$B:$B,All_IDs!$D:$D),""))</f>
        <v/>
      </c>
    </row>
    <row r="75">
      <c r="A75" s="13" t="str">
        <f t="shared" si="1"/>
        <v/>
      </c>
      <c r="C75" s="13" t="str">
        <f t="array" ref="C75">IF($B75="","",IFERROR(XLOOKUP($B75,Monster!$B:$B,Monster!$C:$C),""))</f>
        <v/>
      </c>
      <c r="D75" s="13" t="str">
        <f t="array" ref="D75">IF($B75="","",IFERROR(XLOOKUP($B75,Monster!$B:$B,Monster!$A:$A),""))</f>
        <v/>
      </c>
      <c r="F75" s="13" t="str">
        <f t="array" ref="F75">IF($E75="","",IFERROR(XLOOKUP($E75,All_IDs!$B:$B,All_IDs!$C:$C),""))</f>
        <v/>
      </c>
      <c r="G75" s="13" t="str">
        <f t="array" ref="G75">IF($E75="","",IFERROR(XLOOKUP($E75,All_IDs!$B:$B,All_IDs!$A:$A),""))</f>
        <v/>
      </c>
      <c r="H75" s="13" t="str">
        <f t="array" ref="H75">IF($E75="","",IFERROR(XLOOKUP($E75,All_IDs!$B:$B,All_IDs!$D:$D),""))</f>
        <v/>
      </c>
    </row>
    <row r="76">
      <c r="A76" s="13" t="str">
        <f t="shared" si="1"/>
        <v/>
      </c>
      <c r="C76" s="13" t="str">
        <f t="array" ref="C76">IF($B76="","",IFERROR(XLOOKUP($B76,Monster!$B:$B,Monster!$C:$C),""))</f>
        <v/>
      </c>
      <c r="D76" s="13" t="str">
        <f t="array" ref="D76">IF($B76="","",IFERROR(XLOOKUP($B76,Monster!$B:$B,Monster!$A:$A),""))</f>
        <v/>
      </c>
      <c r="F76" s="13" t="str">
        <f t="array" ref="F76">IF($E76="","",IFERROR(XLOOKUP($E76,All_IDs!$B:$B,All_IDs!$C:$C),""))</f>
        <v/>
      </c>
      <c r="G76" s="13" t="str">
        <f t="array" ref="G76">IF($E76="","",IFERROR(XLOOKUP($E76,All_IDs!$B:$B,All_IDs!$A:$A),""))</f>
        <v/>
      </c>
      <c r="H76" s="13" t="str">
        <f t="array" ref="H76">IF($E76="","",IFERROR(XLOOKUP($E76,All_IDs!$B:$B,All_IDs!$D:$D),""))</f>
        <v/>
      </c>
    </row>
    <row r="77">
      <c r="A77" s="13" t="str">
        <f t="shared" si="1"/>
        <v/>
      </c>
      <c r="C77" s="13" t="str">
        <f t="array" ref="C77">IF($B77="","",IFERROR(XLOOKUP($B77,Monster!$B:$B,Monster!$C:$C),""))</f>
        <v/>
      </c>
      <c r="D77" s="13" t="str">
        <f t="array" ref="D77">IF($B77="","",IFERROR(XLOOKUP($B77,Monster!$B:$B,Monster!$A:$A),""))</f>
        <v/>
      </c>
      <c r="F77" s="13" t="str">
        <f t="array" ref="F77">IF($E77="","",IFERROR(XLOOKUP($E77,All_IDs!$B:$B,All_IDs!$C:$C),""))</f>
        <v/>
      </c>
      <c r="G77" s="13" t="str">
        <f t="array" ref="G77">IF($E77="","",IFERROR(XLOOKUP($E77,All_IDs!$B:$B,All_IDs!$A:$A),""))</f>
        <v/>
      </c>
      <c r="H77" s="13" t="str">
        <f t="array" ref="H77">IF($E77="","",IFERROR(XLOOKUP($E77,All_IDs!$B:$B,All_IDs!$D:$D),""))</f>
        <v/>
      </c>
    </row>
    <row r="78">
      <c r="A78" s="13" t="str">
        <f t="shared" si="1"/>
        <v/>
      </c>
      <c r="C78" s="13" t="str">
        <f t="array" ref="C78">IF($B78="","",IFERROR(XLOOKUP($B78,Monster!$B:$B,Monster!$C:$C),""))</f>
        <v/>
      </c>
      <c r="D78" s="13" t="str">
        <f t="array" ref="D78">IF($B78="","",IFERROR(XLOOKUP($B78,Monster!$B:$B,Monster!$A:$A),""))</f>
        <v/>
      </c>
      <c r="F78" s="13" t="str">
        <f t="array" ref="F78">IF($E78="","",IFERROR(XLOOKUP($E78,All_IDs!$B:$B,All_IDs!$C:$C),""))</f>
        <v/>
      </c>
      <c r="G78" s="13" t="str">
        <f t="array" ref="G78">IF($E78="","",IFERROR(XLOOKUP($E78,All_IDs!$B:$B,All_IDs!$A:$A),""))</f>
        <v/>
      </c>
      <c r="H78" s="13" t="str">
        <f t="array" ref="H78">IF($E78="","",IFERROR(XLOOKUP($E78,All_IDs!$B:$B,All_IDs!$D:$D),""))</f>
        <v/>
      </c>
    </row>
    <row r="79">
      <c r="A79" s="13" t="str">
        <f t="shared" si="1"/>
        <v/>
      </c>
      <c r="C79" s="13" t="str">
        <f t="array" ref="C79">IF($B79="","",IFERROR(XLOOKUP($B79,Monster!$B:$B,Monster!$C:$C),""))</f>
        <v/>
      </c>
      <c r="D79" s="13" t="str">
        <f t="array" ref="D79">IF($B79="","",IFERROR(XLOOKUP($B79,Monster!$B:$B,Monster!$A:$A),""))</f>
        <v/>
      </c>
      <c r="F79" s="13" t="str">
        <f t="array" ref="F79">IF($E79="","",IFERROR(XLOOKUP($E79,All_IDs!$B:$B,All_IDs!$C:$C),""))</f>
        <v/>
      </c>
      <c r="G79" s="13" t="str">
        <f t="array" ref="G79">IF($E79="","",IFERROR(XLOOKUP($E79,All_IDs!$B:$B,All_IDs!$A:$A),""))</f>
        <v/>
      </c>
      <c r="H79" s="13" t="str">
        <f t="array" ref="H79">IF($E79="","",IFERROR(XLOOKUP($E79,All_IDs!$B:$B,All_IDs!$D:$D),""))</f>
        <v/>
      </c>
    </row>
    <row r="80">
      <c r="A80" s="13" t="str">
        <f t="shared" si="1"/>
        <v/>
      </c>
      <c r="C80" s="13" t="str">
        <f t="array" ref="C80">IF($B80="","",IFERROR(XLOOKUP($B80,Monster!$B:$B,Monster!$C:$C),""))</f>
        <v/>
      </c>
      <c r="D80" s="13" t="str">
        <f t="array" ref="D80">IF($B80="","",IFERROR(XLOOKUP($B80,Monster!$B:$B,Monster!$A:$A),""))</f>
        <v/>
      </c>
      <c r="F80" s="13" t="str">
        <f t="array" ref="F80">IF($E80="","",IFERROR(XLOOKUP($E80,All_IDs!$B:$B,All_IDs!$C:$C),""))</f>
        <v/>
      </c>
      <c r="G80" s="13" t="str">
        <f t="array" ref="G80">IF($E80="","",IFERROR(XLOOKUP($E80,All_IDs!$B:$B,All_IDs!$A:$A),""))</f>
        <v/>
      </c>
      <c r="H80" s="13" t="str">
        <f t="array" ref="H80">IF($E80="","",IFERROR(XLOOKUP($E80,All_IDs!$B:$B,All_IDs!$D:$D),""))</f>
        <v/>
      </c>
    </row>
    <row r="81">
      <c r="A81" s="13" t="str">
        <f t="shared" si="1"/>
        <v/>
      </c>
      <c r="C81" s="13" t="str">
        <f t="array" ref="C81">IF($B81="","",IFERROR(XLOOKUP($B81,Monster!$B:$B,Monster!$C:$C),""))</f>
        <v/>
      </c>
      <c r="D81" s="13" t="str">
        <f t="array" ref="D81">IF($B81="","",IFERROR(XLOOKUP($B81,Monster!$B:$B,Monster!$A:$A),""))</f>
        <v/>
      </c>
      <c r="F81" s="13" t="str">
        <f t="array" ref="F81">IF($E81="","",IFERROR(XLOOKUP($E81,All_IDs!$B:$B,All_IDs!$C:$C),""))</f>
        <v/>
      </c>
      <c r="G81" s="13" t="str">
        <f t="array" ref="G81">IF($E81="","",IFERROR(XLOOKUP($E81,All_IDs!$B:$B,All_IDs!$A:$A),""))</f>
        <v/>
      </c>
      <c r="H81" s="13" t="str">
        <f t="array" ref="H81">IF($E81="","",IFERROR(XLOOKUP($E81,All_IDs!$B:$B,All_IDs!$D:$D),""))</f>
        <v/>
      </c>
    </row>
    <row r="82">
      <c r="A82" s="13" t="str">
        <f t="shared" si="1"/>
        <v/>
      </c>
      <c r="C82" s="13" t="str">
        <f t="array" ref="C82">IF($B82="","",IFERROR(XLOOKUP($B82,Monster!$B:$B,Monster!$C:$C),""))</f>
        <v/>
      </c>
      <c r="D82" s="13" t="str">
        <f t="array" ref="D82">IF($B82="","",IFERROR(XLOOKUP($B82,Monster!$B:$B,Monster!$A:$A),""))</f>
        <v/>
      </c>
      <c r="F82" s="13" t="str">
        <f t="array" ref="F82">IF($E82="","",IFERROR(XLOOKUP($E82,All_IDs!$B:$B,All_IDs!$C:$C),""))</f>
        <v/>
      </c>
      <c r="G82" s="13" t="str">
        <f t="array" ref="G82">IF($E82="","",IFERROR(XLOOKUP($E82,All_IDs!$B:$B,All_IDs!$A:$A),""))</f>
        <v/>
      </c>
      <c r="H82" s="13" t="str">
        <f t="array" ref="H82">IF($E82="","",IFERROR(XLOOKUP($E82,All_IDs!$B:$B,All_IDs!$D:$D),""))</f>
        <v/>
      </c>
    </row>
    <row r="83">
      <c r="A83" s="13" t="str">
        <f t="shared" si="1"/>
        <v/>
      </c>
      <c r="C83" s="13" t="str">
        <f t="array" ref="C83">IF($B83="","",IFERROR(XLOOKUP($B83,Monster!$B:$B,Monster!$C:$C),""))</f>
        <v/>
      </c>
      <c r="D83" s="13" t="str">
        <f t="array" ref="D83">IF($B83="","",IFERROR(XLOOKUP($B83,Monster!$B:$B,Monster!$A:$A),""))</f>
        <v/>
      </c>
      <c r="F83" s="13" t="str">
        <f t="array" ref="F83">IF($E83="","",IFERROR(XLOOKUP($E83,All_IDs!$B:$B,All_IDs!$C:$C),""))</f>
        <v/>
      </c>
      <c r="G83" s="13" t="str">
        <f t="array" ref="G83">IF($E83="","",IFERROR(XLOOKUP($E83,All_IDs!$B:$B,All_IDs!$A:$A),""))</f>
        <v/>
      </c>
      <c r="H83" s="13" t="str">
        <f t="array" ref="H83">IF($E83="","",IFERROR(XLOOKUP($E83,All_IDs!$B:$B,All_IDs!$D:$D),""))</f>
        <v/>
      </c>
    </row>
    <row r="84">
      <c r="A84" s="13" t="str">
        <f t="shared" si="1"/>
        <v/>
      </c>
      <c r="C84" s="13" t="str">
        <f t="array" ref="C84">IF($B84="","",IFERROR(XLOOKUP($B84,Monster!$B:$B,Monster!$C:$C),""))</f>
        <v/>
      </c>
      <c r="D84" s="13" t="str">
        <f t="array" ref="D84">IF($B84="","",IFERROR(XLOOKUP($B84,Monster!$B:$B,Monster!$A:$A),""))</f>
        <v/>
      </c>
      <c r="F84" s="13" t="str">
        <f t="array" ref="F84">IF($E84="","",IFERROR(XLOOKUP($E84,All_IDs!$B:$B,All_IDs!$C:$C),""))</f>
        <v/>
      </c>
      <c r="G84" s="13" t="str">
        <f t="array" ref="G84">IF($E84="","",IFERROR(XLOOKUP($E84,All_IDs!$B:$B,All_IDs!$A:$A),""))</f>
        <v/>
      </c>
      <c r="H84" s="13" t="str">
        <f t="array" ref="H84">IF($E84="","",IFERROR(XLOOKUP($E84,All_IDs!$B:$B,All_IDs!$D:$D),""))</f>
        <v/>
      </c>
    </row>
    <row r="85">
      <c r="A85" s="13" t="str">
        <f t="shared" si="1"/>
        <v/>
      </c>
      <c r="C85" s="13" t="str">
        <f t="array" ref="C85">IF($B85="","",IFERROR(XLOOKUP($B85,Monster!$B:$B,Monster!$C:$C),""))</f>
        <v/>
      </c>
      <c r="D85" s="13" t="str">
        <f t="array" ref="D85">IF($B85="","",IFERROR(XLOOKUP($B85,Monster!$B:$B,Monster!$A:$A),""))</f>
        <v/>
      </c>
      <c r="F85" s="13" t="str">
        <f t="array" ref="F85">IF($E85="","",IFERROR(XLOOKUP($E85,All_IDs!$B:$B,All_IDs!$C:$C),""))</f>
        <v/>
      </c>
      <c r="G85" s="13" t="str">
        <f t="array" ref="G85">IF($E85="","",IFERROR(XLOOKUP($E85,All_IDs!$B:$B,All_IDs!$A:$A),""))</f>
        <v/>
      </c>
      <c r="H85" s="13" t="str">
        <f t="array" ref="H85">IF($E85="","",IFERROR(XLOOKUP($E85,All_IDs!$B:$B,All_IDs!$D:$D),""))</f>
        <v/>
      </c>
    </row>
    <row r="86">
      <c r="A86" s="13" t="str">
        <f t="shared" si="1"/>
        <v/>
      </c>
      <c r="C86" s="13" t="str">
        <f t="array" ref="C86">IF($B86="","",IFERROR(XLOOKUP($B86,Monster!$B:$B,Monster!$C:$C),""))</f>
        <v/>
      </c>
      <c r="D86" s="13" t="str">
        <f t="array" ref="D86">IF($B86="","",IFERROR(XLOOKUP($B86,Monster!$B:$B,Monster!$A:$A),""))</f>
        <v/>
      </c>
      <c r="F86" s="13" t="str">
        <f t="array" ref="F86">IF($E86="","",IFERROR(XLOOKUP($E86,All_IDs!$B:$B,All_IDs!$C:$C),""))</f>
        <v/>
      </c>
      <c r="G86" s="13" t="str">
        <f t="array" ref="G86">IF($E86="","",IFERROR(XLOOKUP($E86,All_IDs!$B:$B,All_IDs!$A:$A),""))</f>
        <v/>
      </c>
      <c r="H86" s="13" t="str">
        <f t="array" ref="H86">IF($E86="","",IFERROR(XLOOKUP($E86,All_IDs!$B:$B,All_IDs!$D:$D),""))</f>
        <v/>
      </c>
    </row>
    <row r="87">
      <c r="A87" s="13" t="str">
        <f t="shared" si="1"/>
        <v/>
      </c>
      <c r="C87" s="13" t="str">
        <f t="array" ref="C87">IF($B87="","",IFERROR(XLOOKUP($B87,Monster!$B:$B,Monster!$C:$C),""))</f>
        <v/>
      </c>
      <c r="D87" s="13" t="str">
        <f t="array" ref="D87">IF($B87="","",IFERROR(XLOOKUP($B87,Monster!$B:$B,Monster!$A:$A),""))</f>
        <v/>
      </c>
      <c r="F87" s="13" t="str">
        <f t="array" ref="F87">IF($E87="","",IFERROR(XLOOKUP($E87,All_IDs!$B:$B,All_IDs!$C:$C),""))</f>
        <v/>
      </c>
      <c r="G87" s="13" t="str">
        <f t="array" ref="G87">IF($E87="","",IFERROR(XLOOKUP($E87,All_IDs!$B:$B,All_IDs!$A:$A),""))</f>
        <v/>
      </c>
      <c r="H87" s="13" t="str">
        <f t="array" ref="H87">IF($E87="","",IFERROR(XLOOKUP($E87,All_IDs!$B:$B,All_IDs!$D:$D),""))</f>
        <v/>
      </c>
    </row>
    <row r="88">
      <c r="A88" s="13" t="str">
        <f t="shared" si="1"/>
        <v/>
      </c>
      <c r="C88" s="13" t="str">
        <f t="array" ref="C88">IF($B88="","",IFERROR(XLOOKUP($B88,Monster!$B:$B,Monster!$C:$C),""))</f>
        <v/>
      </c>
      <c r="D88" s="13" t="str">
        <f t="array" ref="D88">IF($B88="","",IFERROR(XLOOKUP($B88,Monster!$B:$B,Monster!$A:$A),""))</f>
        <v/>
      </c>
      <c r="F88" s="13" t="str">
        <f t="array" ref="F88">IF($E88="","",IFERROR(XLOOKUP($E88,All_IDs!$B:$B,All_IDs!$C:$C),""))</f>
        <v/>
      </c>
      <c r="G88" s="13" t="str">
        <f t="array" ref="G88">IF($E88="","",IFERROR(XLOOKUP($E88,All_IDs!$B:$B,All_IDs!$A:$A),""))</f>
        <v/>
      </c>
      <c r="H88" s="13" t="str">
        <f t="array" ref="H88">IF($E88="","",IFERROR(XLOOKUP($E88,All_IDs!$B:$B,All_IDs!$D:$D),""))</f>
        <v/>
      </c>
    </row>
    <row r="89">
      <c r="A89" s="13" t="str">
        <f t="shared" si="1"/>
        <v/>
      </c>
      <c r="C89" s="13" t="str">
        <f t="array" ref="C89">IF($B89="","",IFERROR(XLOOKUP($B89,Monster!$B:$B,Monster!$C:$C),""))</f>
        <v/>
      </c>
      <c r="D89" s="13" t="str">
        <f t="array" ref="D89">IF($B89="","",IFERROR(XLOOKUP($B89,Monster!$B:$B,Monster!$A:$A),""))</f>
        <v/>
      </c>
      <c r="F89" s="13" t="str">
        <f t="array" ref="F89">IF($E89="","",IFERROR(XLOOKUP($E89,All_IDs!$B:$B,All_IDs!$C:$C),""))</f>
        <v/>
      </c>
      <c r="G89" s="13" t="str">
        <f t="array" ref="G89">IF($E89="","",IFERROR(XLOOKUP($E89,All_IDs!$B:$B,All_IDs!$A:$A),""))</f>
        <v/>
      </c>
      <c r="H89" s="13" t="str">
        <f t="array" ref="H89">IF($E89="","",IFERROR(XLOOKUP($E89,All_IDs!$B:$B,All_IDs!$D:$D),""))</f>
        <v/>
      </c>
    </row>
    <row r="90">
      <c r="A90" s="13" t="str">
        <f t="shared" si="1"/>
        <v/>
      </c>
      <c r="C90" s="13" t="str">
        <f t="array" ref="C90">IF($B90="","",IFERROR(XLOOKUP($B90,Monster!$B:$B,Monster!$C:$C),""))</f>
        <v/>
      </c>
      <c r="D90" s="13" t="str">
        <f t="array" ref="D90">IF($B90="","",IFERROR(XLOOKUP($B90,Monster!$B:$B,Monster!$A:$A),""))</f>
        <v/>
      </c>
      <c r="F90" s="13" t="str">
        <f t="array" ref="F90">IF($E90="","",IFERROR(XLOOKUP($E90,All_IDs!$B:$B,All_IDs!$C:$C),""))</f>
        <v/>
      </c>
      <c r="G90" s="13" t="str">
        <f t="array" ref="G90">IF($E90="","",IFERROR(XLOOKUP($E90,All_IDs!$B:$B,All_IDs!$A:$A),""))</f>
        <v/>
      </c>
      <c r="H90" s="13" t="str">
        <f t="array" ref="H90">IF($E90="","",IFERROR(XLOOKUP($E90,All_IDs!$B:$B,All_IDs!$D:$D),""))</f>
        <v/>
      </c>
    </row>
    <row r="91">
      <c r="A91" s="13" t="str">
        <f t="shared" si="1"/>
        <v/>
      </c>
      <c r="C91" s="13" t="str">
        <f t="array" ref="C91">IF($B91="","",IFERROR(XLOOKUP($B91,Monster!$B:$B,Monster!$C:$C),""))</f>
        <v/>
      </c>
      <c r="D91" s="13" t="str">
        <f t="array" ref="D91">IF($B91="","",IFERROR(XLOOKUP($B91,Monster!$B:$B,Monster!$A:$A),""))</f>
        <v/>
      </c>
      <c r="F91" s="13" t="str">
        <f t="array" ref="F91">IF($E91="","",IFERROR(XLOOKUP($E91,All_IDs!$B:$B,All_IDs!$C:$C),""))</f>
        <v/>
      </c>
      <c r="G91" s="13" t="str">
        <f t="array" ref="G91">IF($E91="","",IFERROR(XLOOKUP($E91,All_IDs!$B:$B,All_IDs!$A:$A),""))</f>
        <v/>
      </c>
      <c r="H91" s="13" t="str">
        <f t="array" ref="H91">IF($E91="","",IFERROR(XLOOKUP($E91,All_IDs!$B:$B,All_IDs!$D:$D),""))</f>
        <v/>
      </c>
    </row>
    <row r="92">
      <c r="A92" s="13" t="str">
        <f t="shared" si="1"/>
        <v/>
      </c>
      <c r="C92" s="13" t="str">
        <f t="array" ref="C92">IF($B92="","",IFERROR(XLOOKUP($B92,Monster!$B:$B,Monster!$C:$C),""))</f>
        <v/>
      </c>
      <c r="D92" s="13" t="str">
        <f t="array" ref="D92">IF($B92="","",IFERROR(XLOOKUP($B92,Monster!$B:$B,Monster!$A:$A),""))</f>
        <v/>
      </c>
      <c r="F92" s="13" t="str">
        <f t="array" ref="F92">IF($E92="","",IFERROR(XLOOKUP($E92,All_IDs!$B:$B,All_IDs!$C:$C),""))</f>
        <v/>
      </c>
      <c r="G92" s="13" t="str">
        <f t="array" ref="G92">IF($E92="","",IFERROR(XLOOKUP($E92,All_IDs!$B:$B,All_IDs!$A:$A),""))</f>
        <v/>
      </c>
      <c r="H92" s="13" t="str">
        <f t="array" ref="H92">IF($E92="","",IFERROR(XLOOKUP($E92,All_IDs!$B:$B,All_IDs!$D:$D),""))</f>
        <v/>
      </c>
    </row>
    <row r="93">
      <c r="A93" s="13" t="str">
        <f t="shared" si="1"/>
        <v/>
      </c>
      <c r="C93" s="13" t="str">
        <f t="array" ref="C93">IF($B93="","",IFERROR(XLOOKUP($B93,Monster!$B:$B,Monster!$C:$C),""))</f>
        <v/>
      </c>
      <c r="D93" s="13" t="str">
        <f t="array" ref="D93">IF($B93="","",IFERROR(XLOOKUP($B93,Monster!$B:$B,Monster!$A:$A),""))</f>
        <v/>
      </c>
    </row>
    <row r="94">
      <c r="A94" s="13" t="str">
        <f t="shared" si="1"/>
        <v/>
      </c>
      <c r="C94" s="13" t="str">
        <f t="array" ref="C94">IF($B94="","",IFERROR(XLOOKUP($B94,Monster!$B:$B,Monster!$C:$C),""))</f>
        <v/>
      </c>
      <c r="D94" s="13" t="str">
        <f t="array" ref="D94">IF($B94="","",IFERROR(XLOOKUP($B94,Monster!$B:$B,Monster!$A:$A),""))</f>
        <v/>
      </c>
    </row>
    <row r="95">
      <c r="A95" s="13" t="str">
        <f t="shared" si="1"/>
        <v/>
      </c>
      <c r="C95" s="13" t="str">
        <f t="array" ref="C95">IF($B95="","",IFERROR(XLOOKUP($B95,Monster!$B:$B,Monster!$C:$C),""))</f>
        <v/>
      </c>
      <c r="D95" s="13" t="str">
        <f t="array" ref="D95">IF($B95="","",IFERROR(XLOOKUP($B95,Monster!$B:$B,Monster!$A:$A),""))</f>
        <v/>
      </c>
    </row>
    <row r="96">
      <c r="A96" s="13" t="str">
        <f t="shared" si="1"/>
        <v/>
      </c>
      <c r="C96" s="13" t="str">
        <f t="array" ref="C96">IF($B96="","",IFERROR(XLOOKUP($B96,Monster!$B:$B,Monster!$C:$C),""))</f>
        <v/>
      </c>
      <c r="D96" s="13" t="str">
        <f t="array" ref="D96">IF($B96="","",IFERROR(XLOOKUP($B96,Monster!$B:$B,Monster!$A:$A),""))</f>
        <v/>
      </c>
    </row>
    <row r="97">
      <c r="A97" s="13" t="str">
        <f t="shared" si="1"/>
        <v/>
      </c>
      <c r="C97" s="13" t="str">
        <f t="array" ref="C97">IF($B97="","",IFERROR(XLOOKUP($B97,Monster!$B:$B,Monster!$C:$C),""))</f>
        <v/>
      </c>
      <c r="D97" s="13" t="str">
        <f t="array" ref="D97">IF($B97="","",IFERROR(XLOOKUP($B97,Monster!$B:$B,Monster!$A:$A),""))</f>
        <v/>
      </c>
    </row>
    <row r="98">
      <c r="A98" s="13" t="str">
        <f t="shared" si="1"/>
        <v/>
      </c>
      <c r="C98" s="13" t="str">
        <f t="array" ref="C98">IF($B98="","",IFERROR(XLOOKUP($B98,Monster!$B:$B,Monster!$C:$C),""))</f>
        <v/>
      </c>
      <c r="D98" s="13" t="str">
        <f t="array" ref="D98">IF($B98="","",IFERROR(XLOOKUP($B98,Monster!$B:$B,Monster!$A:$A),""))</f>
        <v/>
      </c>
    </row>
    <row r="99">
      <c r="A99" s="13" t="str">
        <f t="shared" si="1"/>
        <v/>
      </c>
      <c r="C99" s="13" t="str">
        <f t="array" ref="C99">IF($B99="","",IFERROR(XLOOKUP($B99,Monster!$B:$B,Monster!$C:$C),""))</f>
        <v/>
      </c>
      <c r="D99" s="13" t="str">
        <f t="array" ref="D99">IF($B99="","",IFERROR(XLOOKUP($B99,Monster!$B:$B,Monster!$A:$A),""))</f>
        <v/>
      </c>
    </row>
    <row r="100">
      <c r="A100" s="13" t="str">
        <f t="shared" si="1"/>
        <v/>
      </c>
      <c r="C100" s="13" t="str">
        <f t="array" ref="C100">IF($B100="","",IFERROR(XLOOKUP($B100,Monster!$B:$B,Monster!$C:$C),""))</f>
        <v/>
      </c>
      <c r="D100" s="13" t="str">
        <f t="array" ref="D100">IF($B100="","",IFERROR(XLOOKUP($B100,Monster!$B:$B,Monster!$A:$A),""))</f>
        <v/>
      </c>
    </row>
    <row r="101">
      <c r="A101" s="13" t="str">
        <f t="shared" si="1"/>
        <v/>
      </c>
      <c r="C101" s="13" t="str">
        <f t="array" ref="C101">IF($B101="","",IFERROR(XLOOKUP($B101,Monster!$B:$B,Monster!$C:$C),""))</f>
        <v/>
      </c>
      <c r="D101" s="13" t="str">
        <f t="array" ref="D101">IF($B101="","",IFERROR(XLOOKUP($B101,Monster!$B:$B,Monster!$A:$A),""))</f>
        <v/>
      </c>
    </row>
    <row r="102">
      <c r="A102" s="13" t="str">
        <f t="shared" si="1"/>
        <v/>
      </c>
      <c r="C102" s="13" t="str">
        <f t="array" ref="C102">IF($B102="","",IFERROR(XLOOKUP($B102,Monster!$B:$B,Monster!$C:$C),""))</f>
        <v/>
      </c>
      <c r="D102" s="13" t="str">
        <f t="array" ref="D102">IF($B102="","",IFERROR(XLOOKUP($B102,Monster!$B:$B,Monster!$A:$A),""))</f>
        <v/>
      </c>
    </row>
    <row r="103">
      <c r="C103" s="13" t="str">
        <f t="array" ref="C103">IF($B103="","",IFERROR(XLOOKUP($B103,Monster!$B:$B,Monster!$C:$C),""))</f>
        <v/>
      </c>
      <c r="D103" s="13" t="str">
        <f t="array" ref="D103">IF($B103="","",IFERROR(XLOOKUP($B103,Monster!$B:$B,Monster!$A:$A),""))</f>
        <v/>
      </c>
    </row>
    <row r="104">
      <c r="C104" s="13" t="str">
        <f t="array" ref="C104">IF($B104="","",IFERROR(XLOOKUP($B104,Monster!$B:$B,Monster!$C:$C),""))</f>
        <v/>
      </c>
      <c r="D104" s="13" t="str">
        <f t="array" ref="D104">IF($B104="","",IFERROR(XLOOKUP($B104,Monster!$B:$B,Monster!$A:$A),""))</f>
        <v/>
      </c>
    </row>
  </sheetData>
  <dataValidations>
    <dataValidation type="list" allowBlank="1" showErrorMessage="1" sqref="E2:E61">
      <formula1>All_IDs!$B:$B</formula1>
    </dataValidation>
    <dataValidation type="list" allowBlank="1" showErrorMessage="1" sqref="B2:B61">
      <formula1>Monster!$B$2:$B1000</formula1>
    </dataValidation>
  </dataValidations>
  <drawing r:id="rId1"/>
</worksheet>
</file>